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프로젝트\언블리버블 v2\"/>
    </mc:Choice>
  </mc:AlternateContent>
  <bookViews>
    <workbookView xWindow="0" yWindow="0" windowWidth="28200" windowHeight="16665" firstSheet="8" activeTab="17"/>
  </bookViews>
  <sheets>
    <sheet name="요구사항 정의서_000기능" sheetId="1" r:id="rId1"/>
    <sheet name="기능정의_상세" sheetId="2" r:id="rId2"/>
    <sheet name="데이터정의" sheetId="3" r:id="rId3"/>
    <sheet name="API_모델역할" sheetId="4" r:id="rId4"/>
    <sheet name="WBS_기술계획" sheetId="5" r:id="rId5"/>
    <sheet name="점수산정_6축" sheetId="6" r:id="rId6"/>
    <sheet name="예외코드" sheetId="7" r:id="rId7"/>
    <sheet name="디톡스정책" sheetId="8" r:id="rId8"/>
    <sheet name="유형판정_16" sheetId="9" r:id="rId9"/>
    <sheet name="무료유료_운영" sheetId="10" r:id="rId10"/>
    <sheet name="DBMS_설계" sheetId="11" r:id="rId11"/>
    <sheet name="UI_화면정의" sheetId="12" r:id="rId12"/>
    <sheet name="API_명세" sheetId="13" r:id="rId13"/>
    <sheet name="역할분담" sheetId="14" r:id="rId14"/>
    <sheet name="WBS_현황" sheetId="15" r:id="rId15"/>
    <sheet name="Notion_GitHub운영" sheetId="16" r:id="rId16"/>
    <sheet name="최종권고" sheetId="17" r:id="rId17"/>
    <sheet name="참고출처" sheetId="18" r:id="rId18"/>
    <sheet name="요구사항_세부구현" sheetId="19" r:id="rId19"/>
    <sheet name="API_명세_상세" sheetId="20" r:id="rId20"/>
    <sheet name="화면_API흐름" sheetId="21" r:id="rId21"/>
    <sheet name="개발스택_상세" sheetId="22" r:id="rId22"/>
    <sheet name="검토_체크" sheetId="23" r:id="rId23"/>
  </sheets>
  <calcPr calcId="162913"/>
  <extLst>
    <ext uri="GoogleSheetsCustomDataVersion2">
      <go:sheetsCustomData xmlns:go="http://customooxmlschemas.google.com/" r:id="rId27" roundtripDataChecksum="Ura84LhxMa9UCxd2jejZCLzayX4fqMMUnD8C/bAIaHQ="/>
    </ext>
  </extLst>
</workbook>
</file>

<file path=xl/calcChain.xml><?xml version="1.0" encoding="utf-8"?>
<calcChain xmlns="http://schemas.openxmlformats.org/spreadsheetml/2006/main">
  <c r="J2" i="15" l="1"/>
  <c r="H2" i="15"/>
  <c r="F2" i="15"/>
  <c r="D2" i="15"/>
</calcChain>
</file>

<file path=xl/sharedStrings.xml><?xml version="1.0" encoding="utf-8"?>
<sst xmlns="http://schemas.openxmlformats.org/spreadsheetml/2006/main" count="3683" uniqueCount="2407">
  <si>
    <t>언블리버블 | LLM 기반 디지털 콘텐츠 편향 분석·진단 및 디톡스 시스템 | 제출용 기능정의서</t>
  </si>
  <si>
    <t>핵심 원칙: Cloud Natural Language API = 점수 입력을 만드는 정량 분석 API / Python Scoring Engine = 실제 점수 산정 / Gemini 2.5 Flash = Reverse Query·미션·설명·리포트 생성</t>
  </si>
  <si>
    <t>대분류</t>
  </si>
  <si>
    <t>중분류</t>
  </si>
  <si>
    <t>소분류</t>
  </si>
  <si>
    <t>req_id</t>
  </si>
  <si>
    <t>요구사항 세부 내용 (기능 정의 세부 내용)</t>
  </si>
  <si>
    <t>중요도</t>
  </si>
  <si>
    <t>난이도</t>
  </si>
  <si>
    <t>비고</t>
  </si>
  <si>
    <t>user(01)</t>
  </si>
  <si>
    <t>계정/동의(01)</t>
  </si>
  <si>
    <t>로그인/세션관리(01)</t>
  </si>
  <si>
    <t>req_01_01_01</t>
  </si>
  <si>
    <t>사용자는 시스템 접속 시 로그인할 수 있어야 하며, 로그인 성공 후에는 본인 계정에 연결된 업로드 데이터와 분석 결과만 조회할 수 있어야 한다. 
세션 만료 또는 권한 없음 상태가 발생하면 재로그인 안내를 표시하고, 타 사용자 데이터 접근은 차단해야 한다.</t>
  </si>
  <si>
    <t>상</t>
  </si>
  <si>
    <t>중</t>
  </si>
  <si>
    <t>Supabase Auth</t>
  </si>
  <si>
    <t>개인정보·분석동의(02)</t>
  </si>
  <si>
    <t>req_01_01_02</t>
  </si>
  <si>
    <t>사용자는 최초 분석 전에 데이터 활용 목적, 저장 항목, 보관 기간, 삭제 정책, 외부 API 사용 여부를 확인하고 동의해야 한다. 
동의하지 않으면 업로드와 분석 실행을 허용하지 않으며, 동의 버전과 시각은 consent_log에 저장해야 한다.</t>
  </si>
  <si>
    <t>동의 없이는 분석 불가</t>
  </si>
  <si>
    <t>데이터 업로드(02)</t>
  </si>
  <si>
    <t>YouTube 시청기록 업로드(01)</t>
  </si>
  <si>
    <t>req_01_02_01</t>
  </si>
  <si>
    <t>사용자는 Google Takeout 또는 시스템 지정 CSV/JSON 형식의 YouTube 시청기록 파일을 업로드할 수 있어야 한다. 
시스템은 event_time, title, url 또는 video_id, channel_name, action_type=view 존재 여부를 검증한 뒤 raw_file과 raw_event에 저장해야 한다.</t>
  </si>
  <si>
    <t>WBS_01_01, 02_01</t>
  </si>
  <si>
    <t>YouTube 검색기록 업로드(02)</t>
  </si>
  <si>
    <t>req_01_02_02</t>
  </si>
  <si>
    <t>사용자는 YouTube 검색기록 파일을 별도로 업로드할 수 있어야 하며, 시스템은 event_time, query_text, platform=youtube, action_type=search 형식을 검증해야 한다. 
검색기록은 사용자 주도성 점수와 세션 텍스트 생성의 핵심 입력으로 사용되므로 watch 데이터와 분리 저장해야 한다.</t>
  </si>
  <si>
    <t>Agency 계산 입력</t>
  </si>
  <si>
    <t>SNS 텍스트 CSV 업로드(03)</t>
  </si>
  <si>
    <t>req_01_02_03</t>
  </si>
  <si>
    <t>사용자는 직접 발급받은 SNS 내보내기 파일 또는 시스템이 제공하는 generic CSV 템플릿으로 텍스트 기반 상호작용 기록을 업로드할 수 있어야 한다. 
필수 컬럼은 event_time, platform_name, content_text, action_type, source_surface이며, direct platform API 연동은 MVP 기본 범위에서 제외하고 업로드 기반으로 처리한다.</t>
  </si>
  <si>
    <t>유튜브/SNS 공통 스키마</t>
  </si>
  <si>
    <t>업로드 검증 및 오류안내(04)</t>
  </si>
  <si>
    <t>req_01_02_04</t>
  </si>
  <si>
    <t>시스템은 업로드 직후 파일 형식, 인코딩, 필수 컬럼 누락, 중복 파일, 비어 있는 데이터, 허용 용량 초과를 검사해야 한다. 
오류가 발견되면 어떤 컬럼이 문제인지 행 단위 또는 규칙 단위로 안내하고, 정상 행만 부분 반영할지 전체 반려할지 정책에 따라 명확하게 처리해야 한다.</t>
  </si>
  <si>
    <t>예외코드 연동</t>
  </si>
  <si>
    <t>결과 조회(03)</t>
  </si>
  <si>
    <t>분석 진행상태 조회(01)</t>
  </si>
  <si>
    <t>req_01_03_01</t>
  </si>
  <si>
    <t>사용자는 업로드 이후 현재 단계가 파싱 완료인지, 메타데이터 보강 중인지, Cloud Natural Language API 분석 중인지, 점수 계산 완료인지, Gemini 리포트 생성 완료인지 단계별 상태를 조회할 수 있어야 한다. 실패 시 실패 단계와 재시도 가능 여부를 함께 표시해야 한다.</t>
  </si>
  <si>
    <t>하</t>
  </si>
  <si>
    <t>progress status</t>
  </si>
  <si>
    <t>대시보드 요약 조회(02)</t>
  </si>
  <si>
    <t>req_01_03_02</t>
  </si>
  <si>
    <t>사용자는 분석 완료 후 5단계 위험도 신호등, 종합 편향 위험도 점수, 6축 레이더 차트, 16유형 결과, 핵심 경고 사유를 한 화면에서 조회할 수 있어야 한다. 이 화면의 점수는 Gemini가 생성한 값이 아니라 DB에 저장된 자체 산식 결과만 표시해야 한다.</t>
  </si>
  <si>
    <t>점수=자체 산식</t>
  </si>
  <si>
    <t>리포트 및 이력 조회(03)</t>
  </si>
  <si>
    <t>req_01_03_03</t>
  </si>
  <si>
    <t>사용자는 과거 분석 결과, 리포트 스냅샷, 재분석 비교 결과를 이력으로 조회할 수 있어야 한다. 동일 데이터셋을 기준으로 다시 분석한 경우 이전 점수와 현재 점수의 차이, 미션 수행 여부, 예외코드 변화를 함께 확인할 수 있어야 한다.</t>
  </si>
  <si>
    <t>report_snapshot</t>
  </si>
  <si>
    <t>server(02)</t>
  </si>
  <si>
    <t>정규화/세션화(01)</t>
  </si>
  <si>
    <t>원천데이터 파싱(01)</t>
  </si>
  <si>
    <t>req_02_01_01</t>
  </si>
  <si>
    <t>서버는 업로드된 YouTube/SNS 원천 파일을 플랫폼별 파서로 해석하여 raw_event 단위로 저장해야 한다. 파서는 입력 형식마다 서로 다른 필드명을 공통 키로 매핑하고, 파싱 실패 행은 reason_code와 함께 별도 기록해야 한다.</t>
  </si>
  <si>
    <t>FastAPI parser</t>
  </si>
  <si>
    <t>공통 이벤트 스키마 정규화(02)</t>
  </si>
  <si>
    <t>req_02_01_02</t>
  </si>
  <si>
    <t>서버는 raw_event를 norm_event로 정규화하면서 platform, action_type, source_surface, content_id, author_id, event_time, text_base, language_hint를 공통 컬럼으로 맞춰야 한다. 이후 분석 로직은 원천 포맷이 아니라 norm_event만 참조하도록 설계해야 한다.</t>
  </si>
  <si>
    <t>norm_event</t>
  </si>
  <si>
    <t>세션 텍스트 생성(03)</t>
  </si>
  <si>
    <t>req_02_01_03</t>
  </si>
  <si>
    <t>서버는 짧은 제목만으로는 content classification이 어려운 경우를 대비해 30분 이내 연속 소비, 동일 검색어, 동일 플랫폼 조건을 이용해 session_text를 생성해야 한다. session_text는 title+description+tags+query_text를 결합하여 topic 분류용 입력으로 사용하고, item_text와 분리 저장해야 한다.</t>
  </si>
  <si>
    <t>classifyText 20토큰 대응</t>
  </si>
  <si>
    <t>메타데이터 보강(02)</t>
  </si>
  <si>
    <t>YouTube videos.list 조회(01)</t>
  </si>
  <si>
    <t>req_02_02_01</t>
  </si>
  <si>
    <t>server는 norm_event에 video_id가 존재하는 경우 YouTube Data API videos.list를 호출해 title, description, tags, categoryId, defaultLanguage, channelId, topicDetails를 보강해야 한다. 보강 데이터는 텍스트 분석 품질 향상과 topic fallback 규칙에 사용되며, 호출 실패 시 원본 텍스트만으로 다음 단계를 진행하되 confidence를 낮춰야 한다.</t>
  </si>
  <si>
    <t>quota 1 unit</t>
  </si>
  <si>
    <t>YouTube channels.list 조회(02)</t>
  </si>
  <si>
    <t>req_02_02_02</t>
  </si>
  <si>
    <t>server는 channelId가 존재하는 경우 YouTube Data API channels.list를 호출해 채널명, customUrl, topicDetails 등 출처 다양성 계산에 필요한 메타데이터를 저장해야 한다. 이 데이터는 source balance 계산과 대시보드 채널 시각화에 사용된다.</t>
  </si>
  <si>
    <t>분석 API 연동(03)</t>
  </si>
  <si>
    <t>Cloud Natural Language 분석 호출(01)</t>
  </si>
  <si>
    <t>req_02_03_01</t>
  </si>
  <si>
    <t>server는 정규화 완료 후 Cloud Natural Language API를 호출하여 documentSentiment, entities, entitySentiment, content classification, text moderation 결과를 수집해야 한다. 이 단계는 점수 계산 입력값 수집 단계이며 LLM 단계가 아니므로 Gemini를 호출하거나 생성 문구를 만들지 않는다.</t>
  </si>
  <si>
    <t>Cloud NL != LLM</t>
  </si>
  <si>
    <t>언어/분류 제약 처리(02)</t>
  </si>
  <si>
    <t>req_02_03_02</t>
  </si>
  <si>
    <t>server는 classifyText는 20토큰 이상인 session_text에만 적용하고, 그 미만은 YouTube category/topicDetails 또는 generic topic fallback으로 처리해야 한다. 또한 entity sentiment는 공식 지원 언어(en, ja, es)에만 사용하고, 한국어 중심 데이터에서는 관점 개방성 점수의 fallback 식을 적용해야 한다.</t>
  </si>
  <si>
    <t>제약 명시 필요</t>
  </si>
  <si>
    <t>NLP 원본 결과 저장(03)</t>
  </si>
  <si>
    <t>req_02_03_03</t>
  </si>
  <si>
    <t>server는 Cloud Natural Language API 응답 원문(JSON)을 nlp_result 테이블에 저장하고, 어떤 feature가 실제 호출되었는지 feature_flags, language_code, api_success_yn, error_message를 함께 기록해야 한다. 이후 점수 재현성과 디버깅은 이 저장값을 기준으로 수행해야 한다.</t>
  </si>
  <si>
    <t>재현성 확보</t>
  </si>
  <si>
    <t>점수 엔진(04)</t>
  </si>
  <si>
    <t>6축 점수 계산(01)</t>
  </si>
  <si>
    <t>req_02_04_01</t>
  </si>
  <si>
    <t>server는 DB에 저장된 event 분포와 Cloud Natural Language API 결과를 사용해 주제 다양성, 출처 균형, 감정 균형, 관점 개방성, 유해/자극 안전, 사용자 주도성의 6축 점수를 0~100 범위로 계산해야 한다. 각 축은 고정된 수식과 임계값을 사용하며, Gemini가 점수를 직접 판정해서는 안 된다.</t>
  </si>
  <si>
    <t>자체 수식</t>
  </si>
  <si>
    <t>5단계 위험도 판정(02)</t>
  </si>
  <si>
    <t>req_02_04_02</t>
  </si>
  <si>
    <t>server는 6축 건강 점수의 가중합으로 종합 건강 점수를 구하고, bias_risk_score = 100 - weighted_health 식으로 종합 편향 위험도를 계산해야 한다. 최종 결과는 0~19 녹색, 20~39 연두, 40~59 노랑, 60~79 주황, 80~100 빨강의 5단계로 고정 판정해야 한다.</t>
  </si>
  <si>
    <t>traffic light</t>
  </si>
  <si>
    <t>예외코드 및 판정보류(03)</t>
  </si>
  <si>
    <t>req_02_04_03</t>
  </si>
  <si>
    <t>server는 데이터 건수 부족, 검색기록 누락, 분류 텍스트 부족, entity sentiment 미지원 언어, 외부 API 실패율 과다 등 주요 예외 상황을 코드화해야 한다. HOLD 코드가 발생하면 최종 등급 표시 대신 판정보류 상태와 부족 사유를 명확히 노출해야 한다.</t>
  </si>
  <si>
    <t>예외코드 시트 연동</t>
  </si>
  <si>
    <t>16유형 분류(04)</t>
  </si>
  <si>
    <t>req_02_04_04</t>
  </si>
  <si>
    <t>server는 6축을 그대로 유형으로 쓰지 않고, 다양성·안정성·주도성·개방성의 4개 이진 차원으로 축약해 16유형을 분류해야 한다. 각 차원의 high/low 기준과 유형명은 규칙표에 고정 저장하고, 사용자가 다시 분석해도 동일 입력에는 동일 유형이 나오도록 해야 한다.</t>
  </si>
  <si>
    <t>4bit type</t>
  </si>
  <si>
    <t>디톡스 추천(05)</t>
  </si>
  <si>
    <t>Reverse Query 후보 생성(01)</t>
  </si>
  <si>
    <t>req_02_05_01</t>
  </si>
  <si>
    <t>server는 점수 계산 완료 후에만 Gemini 2.5 Flash를 호출하여 reverse query 후보를 JSON schema 형식으로 생성해야 한다. 입력에는 low axes, dominant topics, dominant entities, banned_terms, allowed_topic_pool만 전달하며, 생성 결과는 동일 주제 중복·금칙어·유해성·실행 가능성 규칙을 통과한 후보만 저장해야 한다.</t>
  </si>
  <si>
    <t>Gemini 생성 전용</t>
  </si>
  <si>
    <t>Detox 미션 생성(02)</t>
  </si>
  <si>
    <t>req_02_05_02</t>
  </si>
  <si>
    <t>server는 reverse query 결과와 low axis 조합을 바탕으로 3일 또는 7일 미션을 생성해야 한다. 미션 종류는 탐색 확장, 출처 전환, 관점 전환, 감정 안정, 주도성 회복으로 제한하고, 각 미션에는 success_condition, reanalysis_after_days, blocked_surface 규칙을 포함해야 한다.</t>
  </si>
  <si>
    <t>mission JSON</t>
  </si>
  <si>
    <t>설명문/리포트 JSON 생성(03)</t>
  </si>
  <si>
    <t>req_02_05_03</t>
  </si>
  <si>
    <t>server는 최종 점수와 유형이 확정된 뒤 Gemini 2.5 Flash를 사용해 사용자 설명문과 결과 리포트 JSON을 생성해야 한다. 출력 JSON에는 overall_summary, axis_comments[6], key_findings, recommendations, caution_notes가 포함되어야 하며, 숫자 점수 자체는 입력값을 그대로 인용해야 한다.</t>
  </si>
  <si>
    <t>structured output</t>
  </si>
  <si>
    <t>생성결과 검증/필터(04)</t>
  </si>
  <si>
    <t>req_02_05_04</t>
  </si>
  <si>
    <t>server는 Gemini가 생성한 query, mission, report 문구를 그대로 노출하지 않고 JSON schema 검증, 금칙어 검사, moderation 재검사, 중복 제거, null field 보정 절차를 거쳐야 한다. 유효한 후보가 하나도 없으면 템플릿 기반 fallback 리포트와 수동 미션을 제공해야 한다.</t>
  </si>
  <si>
    <t>post-validation</t>
  </si>
  <si>
    <t>data(03)</t>
  </si>
  <si>
    <t>저장/삭제(01)</t>
  </si>
  <si>
    <t>raw/norm/nlp/score 저장(01)</t>
  </si>
  <si>
    <t>req_03_01_01</t>
  </si>
  <si>
    <t>시스템은 raw_file, raw_event, norm_event, session_text, yt_video_meta, yt_channel_meta, nlp_result, score_run, score_axis, detox_plan, report_snapshot을 분리 저장해야 한다. 원천 데이터와 계산 결과를 분리함으로써 재분석, 로직 교체, 오류 추적이 가능해야 한다.</t>
  </si>
  <si>
    <t>DB 분리 저장</t>
  </si>
  <si>
    <t>버전 및 스냅샷 저장(02)</t>
  </si>
  <si>
    <t>req_03_01_02</t>
  </si>
  <si>
    <t>시스템은 동일 데이터셋을 다른 버전의 수식 또는 다른 시점의 정책으로 재분석할 수 있도록 score_run version, prompt_version, policy_version을 저장해야 한다. 리포트 다운로드 또는 비교 화면은 report_snapshot 기준으로 복원 가능해야 한다.</t>
  </si>
  <si>
    <t>versioning</t>
  </si>
  <si>
    <t>사용자 삭제요청 처리(03)</t>
  </si>
  <si>
    <t>req_03_01_03</t>
  </si>
  <si>
    <t>사용자가 데이터 삭제를 요청하면 시스템은 raw 업로드 파일, 정규화 이벤트, nlp_result, score 결과, detox plan, report snapshot을 사용자 범위에서 삭제 또는 비식별화해야 한다. 삭제 완료 후에는 해당 데이터셋으로 재분석을 수행할 수 없어야 한다.</t>
  </si>
  <si>
    <t>개인정보 삭제</t>
  </si>
  <si>
    <t>로깅/품질(02)</t>
  </si>
  <si>
    <t>외부 API 호출 로그(01)</t>
  </si>
  <si>
    <t>req_03_02_01</t>
  </si>
  <si>
    <t>시스템은 YouTube Data API, Cloud Natural Language API, Gemini API 호출마다 request_id, 호출 시각, feature_flags, 상태 코드, 성공 여부, 오류 메시지, 재시도 횟수를 기록해야 한다. 이를 통해 무료 한도 초과와 장애 원인을 빠르게 식별할 수 있어야 한다.</t>
  </si>
  <si>
    <t>audit_log</t>
  </si>
  <si>
    <t>재분석 및 비교 로그(02)</t>
  </si>
  <si>
    <t>req_03_02_02</t>
  </si>
  <si>
    <t>시스템은 재분석 요청이 발생하면 어떤 데이터셋, 어떤 정책 버전, 어떤 미션 수행 결과를 기준으로 다시 분석했는지 남겨야 한다. 비교 화면은 old_score, new_score, delta, changed_exceptions를 함께 보여줄 수 있어야 한다.</t>
  </si>
  <si>
    <t>delta compare</t>
  </si>
  <si>
    <t>ui(04)</t>
  </si>
  <si>
    <t>화면/시각화(01)</t>
  </si>
  <si>
    <t>업로드 위저드(01)</t>
  </si>
  <si>
    <t>req_04_01_01</t>
  </si>
  <si>
    <t>프론트엔드는 플랫폼 선택, 파일 설명, 샘플 템플릿, 업로드 진행률, 검증 실패 요약을 포함한 업로드 위저드를 제공해야 한다. 사용자는 어떤 파일을 먼저 올려야 하는지, 검색기록이 없으면 어떤 점수가 부분 판정이 되는지를 화면에서 즉시 이해할 수 있어야 한다.</t>
  </si>
  <si>
    <t>UI01~03</t>
  </si>
  <si>
    <t>6축 레이더와 16유형(02)</t>
  </si>
  <si>
    <t>req_04_01_02</t>
  </si>
  <si>
    <t>프론트엔드는 6축 레이더 차트와 16유형 카드, 5단계 신호등을 같은 맥락으로 보여주어야 한다. 각 축 카드에는 점수, 계산 근거 요약, 사용한 데이터 종류, 예외 적용 여부가 함께 표시되어 사용자가 결과를 설명 가능하게 이해할 수 있어야 한다.</t>
  </si>
  <si>
    <t>UI05~06</t>
  </si>
  <si>
    <t>타임라인/주제/출처 시각화(03)</t>
  </si>
  <si>
    <t>req_04_01_03</t>
  </si>
  <si>
    <t>프론트엔드는 시간대별 소비량, dominant topic 변화, source concentration, 감정 분포, moderation 경고 비율을 차트로 시각화해야 한다. 시각화는 분석값을 예쁘게 꾸미는 용도가 아니라 어떤 축이 왜 낮아졌는지 설명하는 용도로 설계해야 한다.</t>
  </si>
  <si>
    <t>UI07</t>
  </si>
  <si>
    <t>디톡스 미션 센터(04)</t>
  </si>
  <si>
    <t>req_04_01_04</t>
  </si>
  <si>
    <t>프론트엔드는 reverse query, 미션 단계, 성공 조건, 수행 여부, 재분석 예정일을 한 화면에서 확인·체크할 수 있어야 한다. 사용자가 미션을 완료 처리하면 detox_log를 업데이트하고, 조건 충족 시 재분석 버튼을 활성화해야 한다.</t>
  </si>
  <si>
    <t>UI08</t>
  </si>
  <si>
    <t>설정/데이터 삭제(05)</t>
  </si>
  <si>
    <t>req_04_01_05</t>
  </si>
  <si>
    <t>프론트엔드는 보관 중인 데이터셋 목록, 최신 분석 일시, 삭제 요청, 재업로드, 동의 철회 기능을 제공해야 한다. 설정 화면에서는 어떤 데이터가 점수 계산에 사용되었는지와 무료/유료 확장 여부와 무관하게 사용자의 데이터 삭제 권한이 유지됨을 명시해야 한다.</t>
  </si>
  <si>
    <t>UI10</t>
  </si>
  <si>
    <t>기능 세부 명세</t>
  </si>
  <si>
    <t>각 핵심 기능의 트리거·입력·처리·출력·검증 기준을 길게 명시했다. 점수 계산과 설명 생성의 역할을 섞지 않도록 처리 절차 칼럼에서 분리했고, 상세 구현 매핑은 '요구사항_세부구현' 시트에 연결했다.</t>
  </si>
  <si>
    <t>기능ID</t>
  </si>
  <si>
    <t>기능명</t>
  </si>
  <si>
    <t>목적</t>
  </si>
  <si>
    <t>트리거</t>
  </si>
  <si>
    <t>입력</t>
  </si>
  <si>
    <t>처리 절차</t>
  </si>
  <si>
    <t>출력</t>
  </si>
  <si>
    <t>검증 기준</t>
  </si>
  <si>
    <t>예외/오류</t>
  </si>
  <si>
    <t>관련 화면</t>
  </si>
  <si>
    <t>관련 API/모델</t>
  </si>
  <si>
    <t>FEAT_01</t>
  </si>
  <si>
    <t>원천파일 업로드 및 검증</t>
  </si>
  <si>
    <t>사용자 제공 파일을 안전하게 수신하고 분석 가능한 형식인지 1차 판단한다.</t>
  </si>
  <si>
    <t>사용자가 업로드 버튼을 눌렀을 때</t>
  </si>
  <si>
    <t>YouTube watch/search 파일, SNS generic CSV, platform 선택값, user_id</t>
  </si>
  <si>
    <t>1) 파일 MIME/type 확인 2) 인코딩/압축 여부 검사 3) 허용 확장자 검사 4) 필수 컬럼 존재 검사 5) 중복 해시 검사 6) raw_file 저장 7) 검증 결과를 upload_status에 기록</t>
  </si>
  <si>
    <t>dataset_id, upload_result, validation_errors[]</t>
  </si>
  <si>
    <t>허용 형식이 아니면 업로드 반려; 필수 컬럼 누락 시 누락 컬럼명 반환; 정상 파일은 dataset_id 발급</t>
  </si>
  <si>
    <t>ERR_FILE_TYPE, ERR_ENCODING, ERR_REQUIRED_COLUMN, ERR_DUP_FILE</t>
  </si>
  <si>
    <t>UI02~UI03</t>
  </si>
  <si>
    <t>FastAPI, Supabase Storage/DB</t>
  </si>
  <si>
    <t>무료 기본</t>
  </si>
  <si>
    <t>FEAT_02</t>
  </si>
  <si>
    <t>공통 스키마 정규화</t>
  </si>
  <si>
    <t>원천 포맷을 분석 엔진이 읽는 단일 스키마로 변환한다.</t>
  </si>
  <si>
    <t>업로드 검증 성공 후 worker 시작</t>
  </si>
  <si>
    <t>raw_event rows, platform parser rule, timezone rule</t>
  </si>
  <si>
    <t>1) 플랫폼별 필드명 매핑 2) event_time 표준화(UTC 또는 KST 기준 통일) 3) action_type/view/search/click 정규화 4) source_surface 매핑(home, search, following, autoplay 등) 5) norm_event 저장 6) 파싱 실패 행은 reason_code와 함께 reject 테이블 기록</t>
  </si>
  <si>
    <t>norm_event rows, reject_rows count</t>
  </si>
  <si>
    <t>동일 입력 파일을 다시 정규화해도 같은 행 수와 같은 key가 생성되어야 한다.</t>
  </si>
  <si>
    <t>ERR_TIME_PARSE, ERR_NULL_TEXT, ERR_PLATFORM_UNSUPPORTED</t>
  </si>
  <si>
    <t>백엔드 처리</t>
  </si>
  <si>
    <t>FastAPI, Supabase Postgres</t>
  </si>
  <si>
    <t>분석 시작 전 필수</t>
  </si>
  <si>
    <t>FEAT_03</t>
  </si>
  <si>
    <t>세션화 및 분류용 텍스트 생성</t>
  </si>
  <si>
    <t>짧은 제목만으로 분류가 어려운 문제를 줄이기 위해 session_text를 만든다.</t>
  </si>
  <si>
    <t>norm_event 생성 완료 후</t>
  </si>
  <si>
    <t>norm_event.text_base, query_text, event_time, platform</t>
  </si>
  <si>
    <t>1) 30분 이내 연속 이벤트를 같은 세션으로 묶음 2) 검색어가 바뀌면 새 세션 시작 3) 세션별 title+description+tags+query_text를 연결 4) 20토큰 미만이면 최대 5개 item까지 추가 결합 5) 1500자 초과 시 앞부분 우선 절단 6) session_text 저장</t>
  </si>
  <si>
    <t>session_id, session_text, token_count</t>
  </si>
  <si>
    <t>topic 분류 대상 session_text는 token_count와 생성 규칙을 함께 저장해야 한다.</t>
  </si>
  <si>
    <t>WARN_SHORT_TEXT, WARN_NO_QUERY</t>
  </si>
  <si>
    <t>자체 로직</t>
  </si>
  <si>
    <t>classifyText 대응</t>
  </si>
  <si>
    <t>FEAT_04</t>
  </si>
  <si>
    <t>YouTube 메타데이터 보강</t>
  </si>
  <si>
    <t>video_id와 channel_id를 이용해 영상/채널 메타정보를 보강한다.</t>
  </si>
  <si>
    <t>norm_event에 video_id 또는 channel_id가 존재할 때</t>
  </si>
  <si>
    <t>video_id, channel_id</t>
  </si>
  <si>
    <t>1) videos.list 호출로 title/description/tags/categoryId/defaultLanguage/topicDetails 조회 2) channels.list 호출로 channel title/topicDetails 조회 3) 기존 값과 병합 4) yt_video_meta/yt_channel_meta 저장 5) 실패 시 원본 값 유지 + confidence down</t>
  </si>
  <si>
    <t>보강된 텍스트 필드, category fallback field</t>
  </si>
  <si>
    <t>videos.list, channels.list 각각 1 unit 사용; search.list는 100 units이므로 기본 흐름에서 사용하지 않는다.</t>
  </si>
  <si>
    <t>WARN_YT_META_FAIL, WARN_NO_VIDEO_ID</t>
  </si>
  <si>
    <t>YouTube Data API videos.list / channels.list</t>
  </si>
  <si>
    <t>무료 quota 기반</t>
  </si>
  <si>
    <t>FEAT_05</t>
  </si>
  <si>
    <t>Cloud Natural Language 분석</t>
  </si>
  <si>
    <t>정량 분석 입력값을 수집한다. 이 단계는 점수 계산용 전처리이며 생성형 문구를 만들지 않는다.</t>
  </si>
  <si>
    <t>session_text 및 item_text 준비 완료 후</t>
  </si>
  <si>
    <t>item_text, session_text, language_hint, feature_flags</t>
  </si>
  <si>
    <t>1) 감정/엔티티/모더레이션은 item_text 기준 실행 2) topic 분류는 session_text가 20토큰 이상일 때만 실행 3) entity sentiment는 지원 언어(en, ja, es)일 때만 활성화 4) 응답 원문과 feature_flags를 nlp_result에 저장 5) 실패한 feature는 null과 error_code로 기록</t>
  </si>
  <si>
    <t>documentSentiment, entities, entitySentiment, categories, moderationCategories, language_code</t>
  </si>
  <si>
    <t>Cloud Natural Language API는 LLM이 아니며, 점수 계산에 필요한 정량 분석 결과를 제공하는 입력 API로만 사용해야 한다.</t>
  </si>
  <si>
    <t>P02_SHORT_TEXT, P03_ENTITY_SENT_LANG, P05_API_FAIL</t>
  </si>
  <si>
    <t>Cloud Natural Language API</t>
  </si>
  <si>
    <t>점수 입력 수집</t>
  </si>
  <si>
    <t>FEAT_06</t>
  </si>
  <si>
    <t>6축 점수 계산 엔진</t>
  </si>
  <si>
    <t>Cloud NL 결과와 DB 분포값으로 6축 건강 점수와 종합 위험도를 계산한다.</t>
  </si>
  <si>
    <t>nlp_result 저장 완료 후</t>
  </si>
  <si>
    <t>norm_event, session_text, yt_meta, nlp_result, config_threshold</t>
  </si>
  <si>
    <t>1) topic/source/event 분포 집계 2) 공식 수식으로 6축 점수 계산 3) 가중합으로 weighted_health 산출 4) bias_risk_score=100-weighted_health 계산 5) grade mapping 6) score_run/score_axis 저장</t>
  </si>
  <si>
    <t>6축 점수, risk_score, grade, confidence_level</t>
  </si>
  <si>
    <t>동일 데이터셋과 동일 config_threshold 입력 시 항상 동일 점수가 재현되어야 하며, Gemini 응답 유무와 무관해야 한다.</t>
  </si>
  <si>
    <t>HOLD_P01, PARTIAL_P03, PARTIAL_P04</t>
  </si>
  <si>
    <t>UI05~UI07</t>
  </si>
  <si>
    <t>Python scoring engine, SQL aggregate</t>
  </si>
  <si>
    <t>Gemini 미사용</t>
  </si>
  <si>
    <t>FEAT_07</t>
  </si>
  <si>
    <t>예외코드와 판정보류 처리</t>
  </si>
  <si>
    <t>데이터 부족이나 제약 조건 때문에 결과를 과신하지 않도록 한다.</t>
  </si>
  <si>
    <t>점수 계산 직후</t>
  </si>
  <si>
    <t>eligible_item_count, token_count, language_code, api_success_rate, search_history_yn</t>
  </si>
  <si>
    <t>1) 최소 건수 검사 2) search history 유무 검사 3) classification coverage 검사 4) entity sentiment 지원 여부 검사 5) API 실패율 검사 6) HOLD/PARTIAL/OK 상태 결정 7) 사용자 메시지 생성용 code 저장</t>
  </si>
  <si>
    <t>exception_codes[], analysis_status</t>
  </si>
  <si>
    <t>HOLD 상태면 5단계 색상 등급 대신 판정보류 메시지를 우선 노출해야 한다.</t>
  </si>
  <si>
    <t>P01_DATA_SHORT, P04_NO_SEARCH, P05_API_PARTIAL</t>
  </si>
  <si>
    <t>UI04~UI05</t>
  </si>
  <si>
    <t>설명가능성 확보</t>
  </si>
  <si>
    <t>FEAT_08</t>
  </si>
  <si>
    <t>16유형 분류기</t>
  </si>
  <si>
    <t>6축 점수를 4개 이진 차원으로 축약하여 이해하기 쉬운 소비 성향 유형을 제공한다.</t>
  </si>
  <si>
    <t>6축 점수 계산 후</t>
  </si>
  <si>
    <t>axis_scores[6]</t>
  </si>
  <si>
    <t>1) 다양성=(주제 다양성+출처 균형)/2 2) 안정성=(감정 균형+유해 안전)/2 3) 주도성=사용자 주도성 4) 개방성=관점 개방성 5) 각 차원을 threshold로 High/Low 판정 6) 4bit code로 유형명 매핑</t>
  </si>
  <si>
    <t>type_code, type_name, dimension_bits</t>
  </si>
  <si>
    <t>임계값 표와 유형명 표는 별도 시트에서 관리하며 임의 서술형 판정은 금지한다.</t>
  </si>
  <si>
    <t>WARN_TYPE_PARTIAL</t>
  </si>
  <si>
    <t>UI06</t>
  </si>
  <si>
    <t>규칙표 고정</t>
  </si>
  <si>
    <t>FEAT_09</t>
  </si>
  <si>
    <t>Reverse Query 후보 생성</t>
  </si>
  <si>
    <t>낮은 축을 개선할 수 있는 검색 쿼리 후보를 생성한다.</t>
  </si>
  <si>
    <t>risk_score 계산 완료 후 and risk&gt;=40 또는 axis&lt;=50</t>
  </si>
  <si>
    <t>score_json, low_axes, dominant_topics, dominant_entities, allowed_topic_pool, banned_terms</t>
  </si>
  <si>
    <t>1) rule engine이 목적 축과 허용 topic pool을 먼저 결정 2) Gemini 2.5 Flash에 JSON schema와 함께 후보 8개 생성 요청 3) query_text, target_axis, expected_topic, why_this_helps 구조로 수신 4) 후처리 필터가 중복/금칙어/같은 주제 과집중 여부를 제거 5) 최종 3~5개 저장</t>
  </si>
  <si>
    <t>accepted reverse_queries[]</t>
  </si>
  <si>
    <t>Gemini는 후보 생성만 담당하고, 채택/차단 여부는 규칙 기반 필터가 최종 결정해야 한다.</t>
  </si>
  <si>
    <t>D01_TOO_SIMILAR, D02_UNSAFE_QUERY, D03_NO_SAFE_QUERY</t>
  </si>
  <si>
    <t>Gemini 2.5 Flash, JSON schema validator</t>
  </si>
  <si>
    <t>점수 직접 판정 금지</t>
  </si>
  <si>
    <t>FEAT_10</t>
  </si>
  <si>
    <t>디톡스 미션 플래너</t>
  </si>
  <si>
    <t>Reverse Query를 실제 행동 미션으로 변환한다.</t>
  </si>
  <si>
    <t>accepted reverse_queries 존재 시</t>
  </si>
  <si>
    <t>reverse_queries, low_axes, risk_grade, mission_policy</t>
  </si>
  <si>
    <t>1) risk 40~59는 3일 미션, 60 이상은 7일 미션 선택 2) 탐색 확장/출처 전환/관점 전환/감정 안정/주도성 회복 중 필요한 미션 타입 선택 3) 각 미션에 action_steps, success_condition, blocked_surface, reanalysis_after_days 부여 4) detox_plan 저장</t>
  </si>
  <si>
    <t>mission_json, mission_count, reanalysis_due_date</t>
  </si>
  <si>
    <t>미션은 실행 가능한 동작으로 써야 하며, '더 균형 있게 보세요' 같은 추상 문구만으로 구성되면 안 된다.</t>
  </si>
  <si>
    <t>D04_POLICY_EMPTY</t>
  </si>
  <si>
    <t>Gemini 2.5 Flash + 자체 정책표</t>
  </si>
  <si>
    <t>실행 가능성 중시</t>
  </si>
  <si>
    <t>FEAT_11</t>
  </si>
  <si>
    <t>설명문 및 결과 리포트 생성</t>
  </si>
  <si>
    <t>점수 결과를 사람이 읽기 쉬운 문장과 구조화된 리포트 JSON으로 변환한다.</t>
  </si>
  <si>
    <t>score_run과 type_code 확정 후</t>
  </si>
  <si>
    <t>risk_score, axis_scores, type_name, exceptions, accepted_queries, mission_json</t>
  </si>
  <si>
    <t>1) Gemini 2.5 Flash에 response_json_schema를 지정 2) overall_summary, axis_comments[6], key_findings, recommendations, caution_notes 생성 3) 숫자 필드는 입력값 복사만 허용 4) null/enum 검증 후 report_snapshot 저장</t>
  </si>
  <si>
    <t>report_json, narrative blocks</t>
  </si>
  <si>
    <t>설명문이 점수와 모순되면 저장하지 않고 재생성하거나 fallback 템플릿을 사용해야 한다.</t>
  </si>
  <si>
    <t>D05_SCHEMA_FAIL, D06_REPORT_CONFLICT</t>
  </si>
  <si>
    <t>UI05~UI09</t>
  </si>
  <si>
    <t>Gemini 2.5 Flash structured output</t>
  </si>
  <si>
    <t>설명 생성 전용</t>
  </si>
  <si>
    <t>FEAT_12</t>
  </si>
  <si>
    <t>대시보드 시각화</t>
  </si>
  <si>
    <t>결과를 카드, 차트, 타임라인 형태로 보여준다.</t>
  </si>
  <si>
    <t>분석 완료 후 화면 진입</t>
  </si>
  <si>
    <t>dashboard API response</t>
  </si>
  <si>
    <t>1) KPI 카드 렌더링 2) 6축 레이더 렌더링 3) topic/source/sentiment/moderation 차트 렌더링 4) 예외코드 badge 표시 5) 리포트/미션 섹션 연결</t>
  </si>
  <si>
    <t>요약 화면, 상세 차트, 비교 차트</t>
  </si>
  <si>
    <t>UI는 DB/백엔드가 확정한 값만 시각화하고 브라우저에서 재계산하지 않는다.</t>
  </si>
  <si>
    <t>ERR_EMPTY_DASHBOARD</t>
  </si>
  <si>
    <t>Next.js, Plotly</t>
  </si>
  <si>
    <t>프론트 재계산 금지</t>
  </si>
  <si>
    <t>FEAT_13</t>
  </si>
  <si>
    <t>재분석 및 비교</t>
  </si>
  <si>
    <t>미션 수행 전후 변화를 객관적으로 비교한다.</t>
  </si>
  <si>
    <t>사용자가 재분석 버튼을 누르거나 due_date 도달 시</t>
  </si>
  <si>
    <t>dataset_id, completed_missions, previous_score_run_id</t>
  </si>
  <si>
    <t>1) 동일 데이터셋 또는 갱신 데이터로 score engine 재실행 2) old/new axis delta 계산 3) changed_exceptions 계산 4) Gemini는 delta 설명만 생성 5) 비교 리포트 저장</t>
  </si>
  <si>
    <t>comparison report, delta chart</t>
  </si>
  <si>
    <t>비교 기준 데이터셋과 버전이 다르면 화면에 차이를 명시해야 한다.</t>
  </si>
  <si>
    <t>WARN_DIFF_DATASET</t>
  </si>
  <si>
    <t>UI09</t>
  </si>
  <si>
    <t>Python scoring engine, Gemini 2.5 Flash</t>
  </si>
  <si>
    <t>delta 설명만 LLM</t>
  </si>
  <si>
    <t>FEAT_14</t>
  </si>
  <si>
    <t>데이터 삭제 및 권한 종료</t>
  </si>
  <si>
    <t>사용자의 데이터 주권 요구에 따라 저장 데이터를 제거한다.</t>
  </si>
  <si>
    <t>사용자가 삭제/동의 철회를 요청할 때</t>
  </si>
  <si>
    <t>user_id, dataset_id, delete_scope</t>
  </si>
  <si>
    <t>1) 삭제 대상 범위 확인 2) raw/norm/nlp/score/report 행 삭제 또는 비식별화 3) storage 파일 삭제 4) audit_log 기록 5) 삭제 완료 상태 반환</t>
  </si>
  <si>
    <t>delete_result, deleted_scope</t>
  </si>
  <si>
    <t>삭제 후 기존 report URL 또는 dataset_id로 조회하면 not found가 반환되어야 한다.</t>
  </si>
  <si>
    <t>ERR_DELETE_FAIL</t>
  </si>
  <si>
    <t>Supabase Postgres/Storage</t>
  </si>
  <si>
    <t>권한 종료</t>
  </si>
  <si>
    <t>FEAT_15</t>
  </si>
  <si>
    <t>사용자 삭제/감사 로그</t>
  </si>
  <si>
    <t>데이터 권리 행사와 외부 API 추적을 문서화한다.</t>
  </si>
  <si>
    <t>삭제 요청 또는 외부 API 호출 발생 시</t>
  </si>
  <si>
    <t>dataset_id, analysis_id, event_type, status</t>
  </si>
  <si>
    <t>1) dataset cascade delete 2) storage object 삭제 3) audit_log에 삭제/호출 이력 기록 4) 삭제 후 재조회 차단</t>
  </si>
  <si>
    <t>delete_result, audit_log</t>
  </si>
  <si>
    <t>삭제 후 남아 있는 파일/행이 없어야 하며 감사 로그는 최소 이벤트 단위로 남아야 한다.</t>
  </si>
  <si>
    <t>DEL_409_RUNNING_ANALYSIS</t>
  </si>
  <si>
    <t>권리 행사/추적성</t>
  </si>
  <si>
    <t>FEAT_16</t>
  </si>
  <si>
    <t>관심사 지식 그래프 생성</t>
  </si>
  <si>
    <t>주제 고립 현상을 노드와 엣지 관계로 시각화한다.</t>
  </si>
  <si>
    <t>타임라인 시각화 요청 시</t>
  </si>
  <si>
    <t>norm_event topics, entities, source ids</t>
  </si>
  <si>
    <t>1) 주제·출처·entity 공출현 계산 2) 노드 weight와 엣지 weight 산출 3) 상위 노드만 샘플링 4) Plotly 렌더링용 node/edge JSON 생성</t>
  </si>
  <si>
    <t>graph_json</t>
  </si>
  <si>
    <t>노드 수가 너무 많으면 상위 weight 기준으로 축약해야 하며 차트 렌더링이 멈추면 안 된다.</t>
  </si>
  <si>
    <t>GRAPH_422_TOO_DENSE</t>
  </si>
  <si>
    <t>NetworkX, Plotly.js</t>
  </si>
  <si>
    <t>시각화 고도화</t>
  </si>
  <si>
    <t>데이터 정의</t>
  </si>
  <si>
    <t>유튜브/SNS 텍스트 기반 분석을 위한 실제 사용 데이터만 정리했다. direct SNS official API는 MVP 기본 범위에서 제외하고 업로드 기반 generic 스키마를 사용한다.</t>
  </si>
  <si>
    <t>데이터ID</t>
  </si>
  <si>
    <t>데이터명</t>
  </si>
  <si>
    <t>데이터 출처</t>
  </si>
  <si>
    <t>수집 방식</t>
  </si>
  <si>
    <t>필수 필드</t>
  </si>
  <si>
    <t>선택 필드</t>
  </si>
  <si>
    <t>사용 단계(WBS)</t>
  </si>
  <si>
    <t>사용 API</t>
  </si>
  <si>
    <t>사용 목적</t>
  </si>
  <si>
    <t>산출물</t>
  </si>
  <si>
    <t>무료/유료</t>
  </si>
  <si>
    <t>주의/제약</t>
  </si>
  <si>
    <t>DATA_01</t>
  </si>
  <si>
    <t>YouTube 시청기록 Raw</t>
  </si>
  <si>
    <t>Google Takeout / 사용자 보유 파일</t>
  </si>
  <si>
    <t>사용자 업로드</t>
  </si>
  <si>
    <t>event_time, title, url 또는 video_id, channel_name, action_type=view</t>
  </si>
  <si>
    <t>watch_surface, device_hint, note</t>
  </si>
  <si>
    <t>없음(업로드 시점)</t>
  </si>
  <si>
    <t>실제 시청 이벤트 흐름 확보</t>
  </si>
  <si>
    <t>raw_file, raw_event</t>
  </si>
  <si>
    <t>무료</t>
  </si>
  <si>
    <t>원천 포맷이 HTML/JSON/CSV로 다를 수 있어 파서 분기 필요</t>
  </si>
  <si>
    <t>DATA_02</t>
  </si>
  <si>
    <t>YouTube 검색기록 Raw</t>
  </si>
  <si>
    <t>event_time, query_text, action_type=search</t>
  </si>
  <si>
    <t>url, result_click_hint</t>
  </si>
  <si>
    <t>사용자 주도성 점수와 세션 분리 기준 확보</t>
  </si>
  <si>
    <t>raw_event(search)</t>
  </si>
  <si>
    <t>없으면 사용자 주도성은 partial 판정</t>
  </si>
  <si>
    <t>DATA_03</t>
  </si>
  <si>
    <t>SNS Generic Text Raw</t>
  </si>
  <si>
    <t>사용자 export CSV/JSON</t>
  </si>
  <si>
    <t>event_time, platform_name, content_text, action_type, source_surface</t>
  </si>
  <si>
    <t>author_name, content_id, url, hashtag</t>
  </si>
  <si>
    <t>유튜브 외 SNS 텍스트 소비 흐름 확보</t>
  </si>
  <si>
    <t>raw_event(sns)</t>
  </si>
  <si>
    <t>MVP는 direct official SNS API 연동이 아니라 export 업로드 방식</t>
  </si>
  <si>
    <t>DATA_04</t>
  </si>
  <si>
    <t>정규화 이벤트 NormEvent</t>
  </si>
  <si>
    <t>raw_event 가공 결과</t>
  </si>
  <si>
    <t>서버 정규화</t>
  </si>
  <si>
    <t>user_id, dataset_id, platform, action_type, source_surface, event_time, text_base</t>
  </si>
  <si>
    <t>content_id, author_id, language_hint, url</t>
  </si>
  <si>
    <t>WBS_02_01, 02_02</t>
  </si>
  <si>
    <t>플랫폼별 입력을 공통 스키마로 통일</t>
  </si>
  <si>
    <t>이후 분석 단계는 raw_event가 아니라 norm_event만 참조</t>
  </si>
  <si>
    <t>DATA_05</t>
  </si>
  <si>
    <t>세션 분류 텍스트 SessionText</t>
  </si>
  <si>
    <t>norm_event + query_text + yt meta</t>
  </si>
  <si>
    <t>서버 생성</t>
  </si>
  <si>
    <t>session_id, dataset_id, session_text, token_count, start_time, end_time</t>
  </si>
  <si>
    <t>dominant_query, merged_item_count</t>
  </si>
  <si>
    <t>WBS_01_02, 02_02</t>
  </si>
  <si>
    <t>Cloud Natural Language API(classification)</t>
  </si>
  <si>
    <t>20토큰 이상 분류용 텍스트 확보</t>
  </si>
  <si>
    <t>session_text</t>
  </si>
  <si>
    <t>무료/유료 한도 있음</t>
  </si>
  <si>
    <t>classifyText는 20토큰 미만이면 실행하지 않고 fallback 사용</t>
  </si>
  <si>
    <t>DATA_06</t>
  </si>
  <si>
    <t>YouTube Video 메타</t>
  </si>
  <si>
    <t>YouTube Data API</t>
  </si>
  <si>
    <t>서버 API 조회</t>
  </si>
  <si>
    <t>video_id, title, description, categoryId, channelId</t>
  </si>
  <si>
    <t>tags, defaultLanguage, topicDetails, publishedAt</t>
  </si>
  <si>
    <t>WBS_01_01, 02_01, 02_02</t>
  </si>
  <si>
    <t>YouTube Data API videos.list</t>
  </si>
  <si>
    <t>텍스트 보강과 topic fallback</t>
  </si>
  <si>
    <t>yt_video_meta</t>
  </si>
  <si>
    <t>기본 quota 무료</t>
  </si>
  <si>
    <t>videos.list는 1 unit; video_id 없는 행은 조회 불가</t>
  </si>
  <si>
    <t>DATA_07</t>
  </si>
  <si>
    <t>YouTube Channel 메타</t>
  </si>
  <si>
    <t>channel_id, title</t>
  </si>
  <si>
    <t>customUrl, topicDetails, country, statistics</t>
  </si>
  <si>
    <t>YouTube Data API channels.list</t>
  </si>
  <si>
    <t>출처 다양성 계산과 채널 라벨링</t>
  </si>
  <si>
    <t>yt_channel_meta</t>
  </si>
  <si>
    <t>channels.list는 1 unit</t>
  </si>
  <si>
    <t>DATA_08</t>
  </si>
  <si>
    <t>NLP 입력 텍스트 ItemText</t>
  </si>
  <si>
    <t>norm_event + yt_video_meta</t>
  </si>
  <si>
    <t>dataset_id, item_id, item_text, language_hint</t>
  </si>
  <si>
    <t>token_count, char_count</t>
  </si>
  <si>
    <t>WBS_02_02</t>
  </si>
  <si>
    <t>Cloud Natural Language API(sentiment/entity/moderation)</t>
  </si>
  <si>
    <t>아이템 단위 감정/엔티티/안전 분석</t>
  </si>
  <si>
    <t>nlp_input logical view</t>
  </si>
  <si>
    <t>entity sentiment는 지원 언어에서만 활성화</t>
  </si>
  <si>
    <t>DATA_09</t>
  </si>
  <si>
    <t>Cloud NL 결과 JSON</t>
  </si>
  <si>
    <t>Cloud Natural Language API 응답</t>
  </si>
  <si>
    <t>서버 저장</t>
  </si>
  <si>
    <t>documentSentiment, entities, categories, moderationCategories, language_code, feature_flags</t>
  </si>
  <si>
    <t>entitySentiment, api_error</t>
  </si>
  <si>
    <t>WBS_02_02, 04_01, 05_01</t>
  </si>
  <si>
    <t>6축 계산의 정량 입력값 확보</t>
  </si>
  <si>
    <t>nlp_result</t>
  </si>
  <si>
    <t>Cloud NL은 LLM이 아님; 점수 입력값 저장용</t>
  </si>
  <si>
    <t>DATA_10</t>
  </si>
  <si>
    <t>점수 결과 ScoreRun</t>
  </si>
  <si>
    <t>DB 집계 + nlp_result</t>
  </si>
  <si>
    <t>서버 계산</t>
  </si>
  <si>
    <t>risk_score, grade, weighted_health, confidence_level, exception_codes</t>
  </si>
  <si>
    <t>type_code, threshold_version</t>
  </si>
  <si>
    <t>Python scoring engine</t>
  </si>
  <si>
    <t>6축/등급/유형 결과 확정</t>
  </si>
  <si>
    <t>score_run, score_axis</t>
  </si>
  <si>
    <t>점수 산정은 고정 수식으로만 계산</t>
  </si>
  <si>
    <t>DATA_11</t>
  </si>
  <si>
    <t>LLM 입력 컨텍스트</t>
  </si>
  <si>
    <t>score_run + 정책표 + dominant topics</t>
  </si>
  <si>
    <t>서버 조합</t>
  </si>
  <si>
    <t>risk_score, axis_scores, type_name, low_axes, dominant_topics, dominant_entities, banned_terms</t>
  </si>
  <si>
    <t>mission_policy, user_pref</t>
  </si>
  <si>
    <t>WBS_01_03, 02_03, 04_02</t>
  </si>
  <si>
    <t>Gemini 2.5 Flash</t>
  </si>
  <si>
    <t>설명과 디톡스 생성을 위한 구조화 입력</t>
  </si>
  <si>
    <t>llm_context logical view</t>
  </si>
  <si>
    <t>점수값은 여기서 읽기만 하며 변경 금지</t>
  </si>
  <si>
    <t>DATA_12</t>
  </si>
  <si>
    <t>LLM 출력 JSON</t>
  </si>
  <si>
    <t>Gemini 2.5 Flash 응답</t>
  </si>
  <si>
    <t>reverse_queries[], missions[], report_json</t>
  </si>
  <si>
    <t>why_this_helps, caution_notes</t>
  </si>
  <si>
    <t>WBS_02_03, 04_02, 05_01</t>
  </si>
  <si>
    <t>Gemini 2.5 Flash / Flash-Lite(확장)</t>
  </si>
  <si>
    <t>사용자 설명문과 미션 제시</t>
  </si>
  <si>
    <t>detox_plan, report_snapshot</t>
  </si>
  <si>
    <t>JSON schema 검증 후에만 저장/노출</t>
  </si>
  <si>
    <t>DATA_13</t>
  </si>
  <si>
    <t>미션 수행 로그 MissionLog</t>
  </si>
  <si>
    <t>사용자 체크 입력</t>
  </si>
  <si>
    <t>사용자 + 서버 저장</t>
  </si>
  <si>
    <t>plan_id, mission_id, completed_yn, completed_at</t>
  </si>
  <si>
    <t>notes</t>
  </si>
  <si>
    <t>WBS_03_01, 04_02</t>
  </si>
  <si>
    <t>미션 진행률 계산과 재분석 권고</t>
  </si>
  <si>
    <t>mission_log</t>
  </si>
  <si>
    <t>로그 없는 완료는 인정하지 않음</t>
  </si>
  <si>
    <t>DATA_14</t>
  </si>
  <si>
    <t>리포트 스냅샷 ReportSnapshot</t>
  </si>
  <si>
    <t>LLM 생성 리포트</t>
  </si>
  <si>
    <t>analysis_id, report_json, prompt_version</t>
  </si>
  <si>
    <t>llm_model, generated_at</t>
  </si>
  <si>
    <t>WBS_02_03, 03_01, 04_02</t>
  </si>
  <si>
    <t>현재 결과 리포트와 과거 복원</t>
  </si>
  <si>
    <t>화면은 이 JSON을 직접 렌더링</t>
  </si>
  <si>
    <t>DATA_15</t>
  </si>
  <si>
    <t>비교 결과 CompareSnapshot</t>
  </si>
  <si>
    <t>old/new 분석 비교</t>
  </si>
  <si>
    <t>analysis_id, base_analysis_id, delta_json</t>
  </si>
  <si>
    <t>version_change_json</t>
  </si>
  <si>
    <t>WBS_04_01, 04_02, 05_01</t>
  </si>
  <si>
    <t>재분석 전후 차이 저장</t>
  </si>
  <si>
    <t>compare_snapshot</t>
  </si>
  <si>
    <t>과거 결과가 없으면 생성 안 함</t>
  </si>
  <si>
    <t>DATA_16</t>
  </si>
  <si>
    <t>감사 로그 AuditLog</t>
  </si>
  <si>
    <t>외부 API/삭제/오류 이벤트</t>
  </si>
  <si>
    <t>event_type, target_id, status_code, latency_ms</t>
  </si>
  <si>
    <t>provider, error_code</t>
  </si>
  <si>
    <t>WBS_03_02, 05_03</t>
  </si>
  <si>
    <t>Cloud NL, Gemini, YouTube</t>
  </si>
  <si>
    <t>비용/오류/삭제 추적</t>
  </si>
  <si>
    <t>민감 원문 전체는 로그에 남기지 않음</t>
  </si>
  <si>
    <t>API / 모델 역할 구분표</t>
  </si>
  <si>
    <t>Cloud Natural Language API는 LLM이 아니며 점수 계산 입력값을 만든다. Gemini 2.5 Flash는 점수 계산 이후에만 설명·추천 생성용으로 호출한다.</t>
  </si>
  <si>
    <t>구분</t>
  </si>
  <si>
    <t>기술명</t>
  </si>
  <si>
    <t>프로젝트 내 역할</t>
  </si>
  <si>
    <t>입력 데이터</t>
  </si>
  <si>
    <t>출력 데이터</t>
  </si>
  <si>
    <t>선택 이유</t>
  </si>
  <si>
    <t>근거 URL</t>
  </si>
  <si>
    <t>분석 API</t>
  </si>
  <si>
    <t>sentiment/entity/entity sentiment 월 첫 5K(1,000-char units) free, classification 첫 30K free, moderation 첫 50K(100-char units) free; 이후 pay-as-you-go</t>
  </si>
  <si>
    <t>텍스트를 정량 분석해 6축 점수 계산의 입력값을 제공한다. 생성형 답변을 만드는 LLM이 아니라 scoring input API로만 사용한다.</t>
  </si>
  <si>
    <t>documentSentiment, entities, entitySentiment(지원 언어만), categories, moderationCategories, language_code</t>
  </si>
  <si>
    <t>WBS_01_02, 02_02, 04_01, 05_01</t>
  </si>
  <si>
    <t>sentiment/entity/classification/moderation을 공식 API로 안정적으로 제공하고, 한국어 sentiment·classification·moderation을 지원한다. 점수의 재현성과 설명 가능성이 높다.</t>
  </si>
  <si>
    <t>대표 단가: entity $0.001/1K chars, sentiment $0.001/1K chars, entity sentiment $0.002/1K chars, classification $0.002/1K chars, moderation $0.0005/100 chars. classifyText는 V2 모델 사용 권장, 20토큰 미만 text는 분류 제외. entity sentiment는 en/ja/es 지원 제약</t>
  </si>
  <si>
    <t>https://docs.cloud.google.com/natural-language/docs/reference/rest/v1/documents/annotateText</t>
  </si>
  <si>
    <t>자체 점수엔진</t>
  </si>
  <si>
    <t>Python Scoring Engine</t>
  </si>
  <si>
    <t>Cloud NL 결과와 DB 집계값으로 6축 점수, 종합 위험도, 16유형을 계산한다. 점수 계산의 핵심 엔진이며 Gemini가 직접 점수를 매기지 않도록 역할을 분리한다.</t>
  </si>
  <si>
    <t>norm_event, session_text, yt_meta, nlp_result, threshold_config</t>
  </si>
  <si>
    <t>axis_scores[6], weighted_health, bias_risk_score, grade, type_code, exception_codes</t>
  </si>
  <si>
    <t>교수 제출 문서에서 가장 설명하기 쉬운 구조이며, 동일 입력에 대해 동일 결과가 나오는 결정적(deterministic) 계산이 가능하다.</t>
  </si>
  <si>
    <t>Gemini 미사용. 수식/가중치 테이블을 DB 또는 config 파일로 버전관리</t>
  </si>
  <si>
    <t/>
  </si>
  <si>
    <t>LLM</t>
  </si>
  <si>
    <t>free tier 존재; paid tier 기준 input $0.30/1M tokens, output $2.50/1M tokens, batch input $0.15/1M, batch output $1.25/1M</t>
  </si>
  <si>
    <t>Reverse Query 후보, 디톡스 미션, 축별 설명문, 결과 리포트 JSON을 생성한다. 점수 계산 후 설명·추천 생성 단계에서만 사용한다.</t>
  </si>
  <si>
    <t>score_json, low_axes, dominant_topics, dominant_entities, mission_policy, banned_terms</t>
  </si>
  <si>
    <t>reverse_queries[], missions[], report_json, axis_comments[]</t>
  </si>
  <si>
    <t>WBS_01_03, 02_03, 04_02, 05_01</t>
  </si>
  <si>
    <t>무료 단계 사용이 가능하고 structured output(JSON schema)을 지원해 UI가 바로 읽을 수 있는 안정적 JSON을 만들기 쉽다.</t>
  </si>
  <si>
    <t>점수 자체를 판정하지 않음. response_json_schema로 형식 고정</t>
  </si>
  <si>
    <t>https://ai.google.dev/gemini-api/docs/structured-output</t>
  </si>
  <si>
    <t>LLM 확장</t>
  </si>
  <si>
    <t>Gemini 2.5 Flash-Lite</t>
  </si>
  <si>
    <t>free tier 존재; paid tier 기준 input $0.10/1M tokens, output $0.40/1M tokens, batch input $0.05/1M, batch output $0.20/1M</t>
  </si>
  <si>
    <t>호출량이 늘어났을 때 batch·저비용 설명 생성에 사용한다. 기본 설계의 메인 모델은 아니며 품질과 비용 균형이 필요할 때만 도입한다.</t>
  </si>
  <si>
    <t>score_json, batch report context</t>
  </si>
  <si>
    <t>report_json, mission_json</t>
  </si>
  <si>
    <t>WBS_05_01(확장), 운영 고도화</t>
  </si>
  <si>
    <t>같은 Gemini 계열을 유지하면서 비용을 크게 낮출 수 있어 free→paid 전환 시 구조 변경이 작다.</t>
  </si>
  <si>
    <t>초기 MVP 기본 모델은 아님. 대량 배치나 야간 리포트 재생성 용도</t>
  </si>
  <si>
    <t>https://ai.google.dev/gemini-api/docs/pricing</t>
  </si>
  <si>
    <t>데이터 보강 API</t>
  </si>
  <si>
    <t>기본 일일 quota 10,000 units 내 무료, videos.list 1 call=1 unit</t>
  </si>
  <si>
    <t>video_id 기준으로 영상 메타데이터를 조회해 item_text와 topic fallback 정보를 보강한다.</t>
  </si>
  <si>
    <t>video_id</t>
  </si>
  <si>
    <t>title, description, tags, categoryId, defaultLanguage, channelId, topicDetails</t>
  </si>
  <si>
    <t>1회 호출 quota cost가 1 unit이라서 교육용 MVP에서 부담이 적고, 원천 시청기록만으로 부족한 설명 텍스트를 보강하기 좋다.</t>
  </si>
  <si>
    <t>search.list는 100 units이므로 기본 흐름에서 사용하지 않음</t>
  </si>
  <si>
    <t>https://developers.google.com/youtube/v3/docs/videos/list</t>
  </si>
  <si>
    <t>기본 일일 quota 10,000 units 내 무료, channels.list 1 call=1 unit</t>
  </si>
  <si>
    <t>channel_id 기준으로 채널 메타데이터를 조회해 출처 다양성 계산과 대시보드 라벨링에 사용한다.</t>
  </si>
  <si>
    <t>channel_id</t>
  </si>
  <si>
    <t>channel title, customUrl, topicDetails, country</t>
  </si>
  <si>
    <t>출처 다양성과 채널 중심 버블 여부를 설명할 때 필요한 메타데이터를 낮은 quota cost로 얻을 수 있다.</t>
  </si>
  <si>
    <t>https://developers.google.com/youtube/v3/docs/channels/list</t>
  </si>
  <si>
    <t>계산 라이브러리</t>
  </si>
  <si>
    <t>NumPy + pandas + scikit-learn cosine_similarity</t>
  </si>
  <si>
    <t>Cloud NL 결과와 DB 집계값으로 6축 점수와 조종지수 보조값을 계산한다. LLM 없이 수식으로만 계산한다.</t>
  </si>
  <si>
    <t>norm_event, nlp_result, topic share vectors</t>
  </si>
  <si>
    <t>axis_scores, manipulation_index, delta tables</t>
  </si>
  <si>
    <t>WBS_01_02, 02_02, 05_01</t>
  </si>
  <si>
    <t>벡터 유사도는 임베딩 LLM이 아니라 topic distribution vector와 cosine_similarity로 구현해 설명 가능성이 높다.</t>
  </si>
  <si>
    <t>MVP는 관계형 집계 + Python 계산으로 충분</t>
  </si>
  <si>
    <t>https://scikit-learn.org/stable/modules/generated/sklearn.metrics.pairwise.cosine_similarity.html</t>
  </si>
  <si>
    <t>백엔드 프레임워크</t>
  </si>
  <si>
    <t>FastAPI + Pydantic</t>
  </si>
  <si>
    <t>업로드, 분석 orchestration, 내부 REST API, 입력 검증을 담당한다.</t>
  </si>
  <si>
    <t>HTTP request, multipart file, JSON body</t>
  </si>
  <si>
    <t>JSON response, validation error, OpenAPI schema</t>
  </si>
  <si>
    <t>WBS_01_05, 02_01~03_01</t>
  </si>
  <si>
    <t>Python 데이터 처리/AI 연동과 궁합이 좋고 API 문서 자동화가 가능하다.</t>
  </si>
  <si>
    <t>내부 API의 표준 진입점</t>
  </si>
  <si>
    <t>https://fastapi.tiangolo.com/</t>
  </si>
  <si>
    <t>프론트엔드 프레임워크</t>
  </si>
  <si>
    <t>Next.js + TypeScript</t>
  </si>
  <si>
    <t>로그인, 업로드 위저드, 대시보드, 미션 센터, 비교 화면을 구현한다.</t>
  </si>
  <si>
    <t>session token, API response JSON</t>
  </si>
  <si>
    <t>page UI, chart props</t>
  </si>
  <si>
    <t>WBS_01_04, 02_04, 03_01, 05_02</t>
  </si>
  <si>
    <t>화면 구조와 타입 안정성을 동시에 확보하기 쉽다.</t>
  </si>
  <si>
    <t>React 기반</t>
  </si>
  <si>
    <t>https://nextjs.org/docs</t>
  </si>
  <si>
    <t>시각화 라이브러리</t>
  </si>
  <si>
    <t>Plotly.js + NetworkX</t>
  </si>
  <si>
    <t>레이더, 타임라인, 출처 집중도, 관심사 그래프를 시각화한다.</t>
  </si>
  <si>
    <t>axis_scores, series JSON, graph_json</t>
  </si>
  <si>
    <t>interactive chart, graph nodes/edges</t>
  </si>
  <si>
    <t>WBS_01_04, 02_04, 05_02</t>
  </si>
  <si>
    <t>프로젝트 시연에서 시각적 전달력이 높고, NetworkX로 그래프 관계를 만들고 Plotly로 웹 렌더링할 수 있다.</t>
  </si>
  <si>
    <t>NetworkX는 서버 계산, Plotly는 클라이언트 렌더링</t>
  </si>
  <si>
    <t>https://plotly.com/javascript/</t>
  </si>
  <si>
    <t>DBMS/인증/저장소</t>
  </si>
  <si>
    <t>Supabase(PostgreSQL)+Auth+Storage+RLS</t>
  </si>
  <si>
    <t>무료→유료</t>
  </si>
  <si>
    <t>사용자 데이터 저장, 인증, 파일 저장, 접근 제어를 한 스택에서 처리한다.</t>
  </si>
  <si>
    <t>raw/norm/nlp/score/report data, auth info, file object</t>
  </si>
  <si>
    <t>query result, signed url, auth session</t>
  </si>
  <si>
    <t>WBS_01_05, 03_01, 05_03</t>
  </si>
  <si>
    <t>팀 규모 대비 가장 현실적인 통합 백엔드이며 관계형 집계와 권한 제어가 쉽다.</t>
  </si>
  <si>
    <t>최종 채택 DBMS</t>
  </si>
  <si>
    <t>https://supabase.com/</t>
  </si>
  <si>
    <t>WBS별 기술 사용 계획표</t>
  </si>
  <si>
    <t>각 WBS마다 Cloud NL 사용 여부, Gemini 사용 여부, 자체 구현 여부가 드러나도록 기술구분을 분리했다.</t>
  </si>
  <si>
    <t>WBS ID</t>
  </si>
  <si>
    <t>작업명</t>
  </si>
  <si>
    <t>기술구분</t>
  </si>
  <si>
    <t>사용 기술/API/모델</t>
  </si>
  <si>
    <t>무료 단계 사용 여부</t>
  </si>
  <si>
    <t>유료 확장 필요 여부</t>
  </si>
  <si>
    <t>책임자 예시</t>
  </si>
  <si>
    <t>세부 구현 방식/검토 포인트</t>
  </si>
  <si>
    <t>WBS_01_01</t>
  </si>
  <si>
    <t>원천데이터 형식 조사 및 샘플 확보</t>
  </si>
  <si>
    <t>자체구현+보강API</t>
  </si>
  <si>
    <t>Google Takeout 샘플, SNS generic CSV 스키마, YouTube Data API 문서</t>
  </si>
  <si>
    <t>유튜브/SNS 업로드 형식과 공통 컬럼 정의</t>
  </si>
  <si>
    <t>예</t>
  </si>
  <si>
    <t>아니오</t>
  </si>
  <si>
    <t>sample 파일 세트, raw schema mapping 표</t>
  </si>
  <si>
    <t>장준영</t>
  </si>
  <si>
    <t>Google Takeout watch/search 샘플과 SNS generic CSV 3종 이상을 확보하고, 공통 컬럼(event_time/platform/action_type/text/source_surface) 매핑표를 작성한다.</t>
  </si>
  <si>
    <t>WBS_01_02</t>
  </si>
  <si>
    <t>편향 지표 6축 정의 및 계산식 초안</t>
  </si>
  <si>
    <t>Cloud NL + 자체로직</t>
  </si>
  <si>
    <t>Cloud Natural Language API 출력 스펙, Python scoring formula</t>
  </si>
  <si>
    <t>6축 수식, 가중치, 예외코드 설계</t>
  </si>
  <si>
    <t>6축 정의표, 임계값 초안, 예외코드 표</t>
  </si>
  <si>
    <t>손석환</t>
  </si>
  <si>
    <t>Cloud NL feature별 출력 필드를 검토해 6축 수식, 가중치, partial/HOLD 예외코드, 조종지수 보조 계산식을 문서화한다.</t>
  </si>
  <si>
    <t>WBS_01_03</t>
  </si>
  <si>
    <t>Reverse Query/미션 정책 설계</t>
  </si>
  <si>
    <t>Gemini + 자체정책</t>
  </si>
  <si>
    <t>Gemini 2.5 Flash, JSON schema, detox policy table</t>
  </si>
  <si>
    <t>추천 생성 규칙과 차단 규칙을 구조화</t>
  </si>
  <si>
    <t>조건부</t>
  </si>
  <si>
    <t>reverse query schema, mission policy 문서</t>
  </si>
  <si>
    <t>이세종</t>
  </si>
  <si>
    <t>Gemini 2.5 Flash용 reverse query/mission JSON schema와 금칙어·차단 규칙을 정의하고 fallback 정책을 함께 확정한다.</t>
  </si>
  <si>
    <t>WBS_01_04</t>
  </si>
  <si>
    <t>IA/와이어프레임/대시보드 구성안</t>
  </si>
  <si>
    <t>프론트엔드</t>
  </si>
  <si>
    <t>Next.js, Tailwind, Plotly, 와이어프레임 도구</t>
  </si>
  <si>
    <t>어떤 화면에 어떤 지표와 기능을 노출할지 확정</t>
  </si>
  <si>
    <t>IA, wireframe, dashboard flow</t>
  </si>
  <si>
    <t>최현규</t>
  </si>
  <si>
    <t>로그인/업로드/진행상태/요약대시보드/미션센터/비교 화면까지 최소 6개 핵심 화면 wireframe을 만든다.</t>
  </si>
  <si>
    <t>WBS_01_05</t>
  </si>
  <si>
    <t>DB 스키마/API 명세 1차</t>
  </si>
  <si>
    <t>DB/백엔드</t>
  </si>
  <si>
    <t>Supabase Postgres, FastAPI OpenAPI</t>
  </si>
  <si>
    <t>테이블 구조와 REST API 1차 확정</t>
  </si>
  <si>
    <t>ERD, API 명세 초안</t>
  </si>
  <si>
    <t>Supabase ERD, RLS 정책, bucket 구조, 내부 API 목록, analysis_job/mission_log 포함 스키마를 1차 확정한다.</t>
  </si>
  <si>
    <t>WBS_02_01</t>
  </si>
  <si>
    <t>업로드/정규화 모듈 구현</t>
  </si>
  <si>
    <t>FastAPI parser, Supabase Storage/DB, YouTube Data API</t>
  </si>
  <si>
    <t>raw 업로드→norm_event→yt meta 보강 파이프라인 구현</t>
  </si>
  <si>
    <t>업로드 모듈, 정규화 worker</t>
  </si>
  <si>
    <t>FastAPI 업로드 API, parser, normalization 스크립트, dataset 검증/오류 코드, YouTube 메타 보강 모듈을 구현한다.</t>
  </si>
  <si>
    <t>편향 분석 엔진 PoC</t>
  </si>
  <si>
    <t>Cloud Natural Language API, Python scoring engine</t>
  </si>
  <si>
    <t>감정/엔티티/분류/모더레이션 결과를 받아 6축 점수 계산 PoC 구현</t>
  </si>
  <si>
    <t>nlp_result 저장, score_run 생성</t>
  </si>
  <si>
    <t>Cloud NL 호출 모듈, 6축 score engine, 조종지수 보조 계산, 예외코드 저장, score_run/score_axis 적재까지 PoC로 연결한다.</t>
  </si>
  <si>
    <t>WBS_02_03</t>
  </si>
  <si>
    <t>디톡스 추천 엔진 PoC</t>
  </si>
  <si>
    <t>Gemini</t>
  </si>
  <si>
    <t>reverse query·미션·설명문 생성 PoC 구현</t>
  </si>
  <si>
    <t>detox_plan, report_json</t>
  </si>
  <si>
    <t>Gemini 2.5 Flash structured output으로 reverse query/mission/report JSON 생성 후 규칙 필터와 fallback까지 포함한 PoC를 만든다.</t>
  </si>
  <si>
    <t>WBS_02_04</t>
  </si>
  <si>
    <t>대시보드 화면 1차 구현</t>
  </si>
  <si>
    <t>Next.js, Plotly, UI component</t>
  </si>
  <si>
    <t>결과 조회 화면 1차 완성</t>
  </si>
  <si>
    <t>UI05~UI08 초기 화면</t>
  </si>
  <si>
    <t>Plotly 기반 요약 카드, 레이더, 유형 카드, 타임라인, 미션 체크리스트 UI를 1차 구현한다.</t>
  </si>
  <si>
    <t>WBS_03_01</t>
  </si>
  <si>
    <t>FE-BE 연동 및 통합 MVP</t>
  </si>
  <si>
    <t>통합</t>
  </si>
  <si>
    <t>Next.js, FastAPI, Supabase</t>
  </si>
  <si>
    <t>업로드→분석→리포트 조회까지 end-to-end 연결</t>
  </si>
  <si>
    <t>통합 MVP</t>
  </si>
  <si>
    <t>장준영/최현규</t>
  </si>
  <si>
    <t>인증→동의→업로드→분석→결과→디톡스까지 end-to-end 시연이 가능한 MVP를 통합한다.</t>
  </si>
  <si>
    <t>WBS_03_02</t>
  </si>
  <si>
    <t>내부 테스트 및 오류 수정</t>
  </si>
  <si>
    <t>테스트</t>
  </si>
  <si>
    <t>pytest, API test, 화면 테스트</t>
  </si>
  <si>
    <t>파싱·분석·리포트·삭제 흐름의 결함 수정</t>
  </si>
  <si>
    <t>결함 목록, 수정 로그</t>
  </si>
  <si>
    <t>전원</t>
  </si>
  <si>
    <t>외부 API 실패, 짧은 텍스트, 미지원 언어, 중복 업로드, 삭제 흐름 등 핵심 예외 케이스를 점검하고 수정한다.</t>
  </si>
  <si>
    <t>WBS_03_03</t>
  </si>
  <si>
    <t>시연 시나리오 및 발표자료 1차</t>
  </si>
  <si>
    <t>시연</t>
  </si>
  <si>
    <t>UI 화면, sample dataset, report snapshot</t>
  </si>
  <si>
    <t>실제 시연 가능한 사용자 흐름 정리</t>
  </si>
  <si>
    <t>시연 스크립트, 초기 발표자료</t>
  </si>
  <si>
    <t>최현규/이세종</t>
  </si>
  <si>
    <t>5분 이상 데모 흐름, 스크린샷, 핵심 수식/역할 분리 설명이 포함된 발표자료 v1을 만든다.</t>
  </si>
  <si>
    <t>WBS_04_01</t>
  </si>
  <si>
    <t>평가 데이터셋 보강 및 기준 조정</t>
  </si>
  <si>
    <t>Cloud Natural Language API 재실행, threshold config</t>
  </si>
  <si>
    <t>샘플 수 증가 후 6축 threshold 보정</t>
  </si>
  <si>
    <t>평가셋, 기준 조정 표</t>
  </si>
  <si>
    <t>손석환/장준영</t>
  </si>
  <si>
    <t>평가용 샘플을 늘리고 threshold, weight, partial rule을 보정해 결과 일관성을 개선한다.</t>
  </si>
  <si>
    <t>WBS_04_02</t>
  </si>
  <si>
    <t>UX 개선 및 리포트 품질 개선</t>
  </si>
  <si>
    <t>Gemini + 프론트엔드</t>
  </si>
  <si>
    <t>Gemini 2.5 Flash 프롬프트 튜닝, UI 개선</t>
  </si>
  <si>
    <t>설명문 일관성과 사용자 이해도를 개선</t>
  </si>
  <si>
    <t>개선된 report_json, UX 수정안</t>
  </si>
  <si>
    <t>리포트 가독성, 예외 문구, 빈 상태, 비교 UX, 미션 완료 UX를 개선한다.</t>
  </si>
  <si>
    <t>WBS_04_03</t>
  </si>
  <si>
    <t>공모전/중간 제출용 문서 정리</t>
  </si>
  <si>
    <t>문서화</t>
  </si>
  <si>
    <t>기능정의서, 기술정의서, API 표, 화면 정의</t>
  </si>
  <si>
    <t>제출용 산출물 정리</t>
  </si>
  <si>
    <t>정리된 문서 패키지</t>
  </si>
  <si>
    <t>이세종/최현규</t>
  </si>
  <si>
    <t>README, 설치법, API 요약, 화면 흐름, 데이터 예시, 시연 자료를 정리해 중간 제출용 패키지를 만든다.</t>
  </si>
  <si>
    <t>WBS_05_01</t>
  </si>
  <si>
    <t>모델·추천 로직 정밀도 개선</t>
  </si>
  <si>
    <t>Cloud NL + Gemini</t>
  </si>
  <si>
    <t>Cloud NL 재평가, Gemini 2.5 Flash/Flash-Lite</t>
  </si>
  <si>
    <t>추천 품질과 설명 품질을 높이고 비용 구조를 안정화</t>
  </si>
  <si>
    <t>정밀도 개선판, 비용 조정안</t>
  </si>
  <si>
    <t>손석환/이세종</t>
  </si>
  <si>
    <t>Flash와 Flash-Lite, threshold 조정, 미션 정책 개선 등 품질 실험을 수행해 성능 비교표를 만든다.</t>
  </si>
  <si>
    <t>WBS_05_02</t>
  </si>
  <si>
    <t>시각화/사용성 고도화</t>
  </si>
  <si>
    <t>Next.js, Plotly, 비교차트</t>
  </si>
  <si>
    <t>차트 해석성과 조작 편의성 향상</t>
  </si>
  <si>
    <t>고도화 UI</t>
  </si>
  <si>
    <t>그래프/차트 최적화, 반응형 UI, 로딩 상태, 안내 문구를 다듬어 시연 완성도를 높인다.</t>
  </si>
  <si>
    <t>WBS_05_03</t>
  </si>
  <si>
    <t>최종 통합 테스트/문서화</t>
  </si>
  <si>
    <t>전 스택</t>
  </si>
  <si>
    <t>최종 안정화와 문서 고정</t>
  </si>
  <si>
    <t>테스트 결과서, 최종 문서</t>
  </si>
  <si>
    <t>최종 테스트 체크리스트, 사용자 가이드, 장애 대응 문서를 작성하고 결함을 정리한다.</t>
  </si>
  <si>
    <t>WBS_05_04</t>
  </si>
  <si>
    <t>최종 발표/시연/제출</t>
  </si>
  <si>
    <t>통합 MVP, sample dataset, report</t>
  </si>
  <si>
    <t>완성본 시연 및 제출</t>
  </si>
  <si>
    <t>최종 발표/제출물</t>
  </si>
  <si>
    <t>최종 발표자료, 시연 영상, 산출물 폴더를 마감 형식에 맞게 제출한다.</t>
  </si>
  <si>
    <t>점수 산정 구조 상세표</t>
  </si>
  <si>
    <t>모든 축은 0~100의 건강 점수로 계산한다. 최종 위험도는 100-weighted_health로 계산하며, HOLD 예외가 있으면 등급 색상보다 판정보류를 우선 노출한다.</t>
  </si>
  <si>
    <t>지표명</t>
  </si>
  <si>
    <t>정의</t>
  </si>
  <si>
    <t>계산에 쓰는 데이터</t>
  </si>
  <si>
    <t>사용 API/로직</t>
  </si>
  <si>
    <t>계산 방식</t>
  </si>
  <si>
    <t>결과 범위</t>
  </si>
  <si>
    <t>예외 처리</t>
  </si>
  <si>
    <t>왜 필요한지</t>
  </si>
  <si>
    <t>주제 다양성 점수(TDS)</t>
  </si>
  <si>
    <t>사용자가 어떤 주제 카테고리에 얼마나 고르게 노출되었는지를 나타내는 건강 점수</t>
  </si>
  <si>
    <t>session_text의 main_topic, yt_video_meta.categoryId/topicDetails, sns topic fallback</t>
  </si>
  <si>
    <t>Cloud Natural Language API classifyText(V2) + entropy 수식</t>
  </si>
  <si>
    <t>1) session_text별 main_topic 결정(분류 confidence&gt;=0.60 우선) 2) p_k=count(topic_k)/N_topic 3) H=-Σ(p_k*ln p_k) 4) Hmax=ln(min(unique_topic_count,8)) 5) coverage=min(1,N_topic/30) 6) TDS=round(100*(H/Hmax)*coverage,1)</t>
  </si>
  <si>
    <t>0~100 (높을수록 건강)</t>
  </si>
  <si>
    <t>P01: N_topic&lt;10이면 판정보류. P02: session_text&lt;20토큰이면 classifyText 실행 안 하고 category/topic fallback 사용</t>
  </si>
  <si>
    <t>한 주제에 과도하게 몰려 있으면 필터 버블 위험이 커지므로 필수</t>
  </si>
  <si>
    <t>출처 균형 점수(SBS)</t>
  </si>
  <si>
    <t>소수 채널/계정에 소비가 집중되지 않았는지를 나타내는 건강 점수</t>
  </si>
  <si>
    <t>norm_event의 channel_id/author_id/source_id</t>
  </si>
  <si>
    <t>DB 집계 + HHI 정규화</t>
  </si>
  <si>
    <t>1) s_i=count(source_i)/N_source 2) HHI=Σ(s_i^2) 3) M=unique_source_count 4) SBS=round(100*(1-HHI)/(1-1/M),1), 단 M=1이면 0 5) M&lt;3이고 N_source&gt;=20이면 SBS 최대 40으로 cap</t>
  </si>
  <si>
    <t>0~100</t>
  </si>
  <si>
    <t>P01: N_source&lt;10이면 판정보류. source_id 누락 행은 분모에서 제외</t>
  </si>
  <si>
    <t>주제만 다양해도 실제 출처가 하나면 편향 노출일 수 있으므로 분리 측정 필요</t>
  </si>
  <si>
    <t>감정 균형 점수(EBS)</t>
  </si>
  <si>
    <t>지속적 극단 감정 톤에 과하게 노출되지 않았는지를 나타내는 건강 점수</t>
  </si>
  <si>
    <t>nlp_result.documentSentiment.score, magnitude</t>
  </si>
  <si>
    <t>Cloud Natural Language API sentiment + 규칙식</t>
  </si>
  <si>
    <t>1) extreme_ratio=count(|score|&gt;=0.65 또는 magnitude&gt;=1.5)/N_sent 2) skew=abs(avg(score)) 3) EBS=round(100*(1-min(1,0.6*extreme_ratio+0.4*(skew/0.60))),1)</t>
  </si>
  <si>
    <t>sentiment 계산 가능 건수가 10 미만이면 HOLD. title만 있는 짧은 text는 yt meta를 붙여 item_text 보강</t>
  </si>
  <si>
    <t>감정 자극 위주 소비는 사용자의 균형 판단을 흐릴 수 있어 별도 축으로 본다</t>
  </si>
  <si>
    <t>관점 개방성 점수(VOS)</t>
  </si>
  <si>
    <t>동일 인물/조직/사건에 한쪽 정서로만 고착되지 않았는지를 나타내는 건강 점수</t>
  </si>
  <si>
    <t>entities mentions, entitySentiment(지원 언어만), dominant entity 분포</t>
  </si>
  <si>
    <t>Cloud Natural Language API entity/entity sentiment + 규칙식</t>
  </si>
  <si>
    <t>1) entity_conc=top3_entity_mentions/total_entity_mentions 2) one_sided_ratio=count(top_entities where sign_consistency&gt;=0.80 and |mean_entity_sentiment|&gt;=0.25)/top_entities_count 3) VOS=round(100*(1-min(1,0.7*entity_conc+0.3*one_sided_ratio)),1) 4) entity sentiment 미지원이면 VOS=round(100*(1-entity_conc),1)</t>
  </si>
  <si>
    <t>P03: dominant language가 en/ja/es가 아니면 entity sentiment 없이 fallback 계산, confidence=partial</t>
  </si>
  <si>
    <t>같은 주체만 반복적으로 소비하고 정서 방향도 한쪽으로 잠기면 관점 폐쇄 위험이 커진다</t>
  </si>
  <si>
    <t>유해/자극 안전 점수(SMS)</t>
  </si>
  <si>
    <t>유해·민감·선정적 텍스트에 얼마나 덜 노출되었는지를 나타내는 건강 점수</t>
  </si>
  <si>
    <t>moderationCategories probability/severity, 일부 extreme sentiment 보조값</t>
  </si>
  <si>
    <t>Cloud Natural Language API moderateText + 규칙식</t>
  </si>
  <si>
    <t>1) high_risk_ratio=count(max(prob)&gt;=0.70 또는 severity&gt;=0.50)/N_mod 2) med_risk_ratio=count(0.40&lt;=max(prob)&lt;0.70)/N_mod 3) SMS=round(100*(1-min(1,0.8*high_risk_ratio+0.2*med_risk_ratio)),1)</t>
  </si>
  <si>
    <t>severity 값이 없으면 probability만 사용. moderation 가능한 text type이 아닐 경우 partial 처리</t>
  </si>
  <si>
    <t>과도한 자극/유해 노출은 디톡스 우선순위를 정하는 핵심 입력</t>
  </si>
  <si>
    <t>사용자 주도성 점수(UAS)</t>
  </si>
  <si>
    <t>알고리즘 추천에 끌려가기보다 스스로 탐색했는지를 나타내는 건강 점수</t>
  </si>
  <si>
    <t>search_event, source_surface, dominant topic 대비 탐색 결과</t>
  </si>
  <si>
    <t>DB 이벤트 규칙식</t>
  </si>
  <si>
    <t>1) active_surface_count=search events + search/following/subscription 진입 views 2) passive_surface_count=home/recommendation/autoplay/shorts_feed 진입 views 3) active_ratio=active/(active+passive) 4) exploration_ratio=count(search-driven items where topic!=dominant_topic)/max(search_result_views,1) 5) UAS=round(100*(0.7*active_ratio+0.3*exploration_ratio),1)</t>
  </si>
  <si>
    <t>P04: 검색기록이 없으면 exploration_ratio 대신 non-dominant topic view ratio를 쓰고 confidence=partial</t>
  </si>
  <si>
    <t>편향 해소는 단순 노출보다 사용자의 능동 탐색 회복이 중요하므로 별도 측정</t>
  </si>
  <si>
    <t>종합 편향 위험도(BRS)</t>
  </si>
  <si>
    <t>6축 건강 점수를 하나의 위험도 값으로 통합한 최종 출력</t>
  </si>
  <si>
    <t>TDS, SBS, EBS, VOS, SMS, UAS</t>
  </si>
  <si>
    <t>가중합 + 등급 매핑</t>
  </si>
  <si>
    <t>weighted_health=0.20*TDS + 0.15*SBS + 0.15*EBS + 0.20*VOS + 0.15*SMS + 0.15*UAS; bias_risk_score=round(100-weighted_health,1); grade=0~19 녹색, 20~39 연두, 40~59 노랑, 60~79 주황, 80~100 빨강</t>
  </si>
  <si>
    <t>0~100 (높을수록 위험)</t>
  </si>
  <si>
    <t>HOLD 예외 존재 시 grade를 색상 대신 판정보류로 대체</t>
  </si>
  <si>
    <t>사용자가 한눈에 이해하는 최종 지표이며, 미션 발동 조건으로도 사용</t>
  </si>
  <si>
    <t>예외 코드 / 판정보류 규칙</t>
  </si>
  <si>
    <t>데이터 부족, 텍스트 길이 제약, 언어 제약, LLM schema 실패 등을 코드로 고정했다. 모호한 예외 문구 대신 코드·조건·처리·노출 문구를 함께 남긴다.</t>
  </si>
  <si>
    <t>코드</t>
  </si>
  <si>
    <t>발생 조건</t>
  </si>
  <si>
    <t>적용 영역</t>
  </si>
  <si>
    <t>시스템 처리</t>
  </si>
  <si>
    <t>사용자 노출 문구</t>
  </si>
  <si>
    <t>P01_DATA_SHORT</t>
  </si>
  <si>
    <t>최근 분석 창(기본 30일) 내 eligible content/session 건수가 최소 기준(10 또는 20)에 미달</t>
  </si>
  <si>
    <t>점수 산정</t>
  </si>
  <si>
    <t>grade를 계산하지 않고 analysis_status=HOLD로 저장</t>
  </si>
  <si>
    <t>데이터가 충분하지 않아 이번 결과는 보류되었습니다. 더 많은 기록을 업로드한 뒤 다시 분석하세요.</t>
  </si>
  <si>
    <t>판정보류</t>
  </si>
  <si>
    <t>P02_SHORT_TEXT</t>
  </si>
  <si>
    <t>session_text가 20토큰 미만이어서 classifyText를 호출할 수 없음</t>
  </si>
  <si>
    <t>Cloud NL 분류</t>
  </si>
  <si>
    <t>classifyText 제외 후 category/topic fallback 사용, confidence 낮춤</t>
  </si>
  <si>
    <t>일부 항목은 텍스트가 짧아 주제 분류를 보완 규칙으로 처리했습니다.</t>
  </si>
  <si>
    <t>partial</t>
  </si>
  <si>
    <t>P03_ENTITY_SENT_LANG</t>
  </si>
  <si>
    <t>대부분의 텍스트가 entity sentiment 미지원 언어(예: ko)임</t>
  </si>
  <si>
    <t>관점 개방성</t>
  </si>
  <si>
    <t>entity sentiment 없이 entity concentration 기반 fallback 계산</t>
  </si>
  <si>
    <t>일부 언어는 개체 감정 분석이 제한되어 관점 개방성은 부분 판정으로 계산되었습니다.</t>
  </si>
  <si>
    <t>P04_NO_SEARCH</t>
  </si>
  <si>
    <t>검색기록 파일이 업로드되지 않았거나 유효 search event가 0건</t>
  </si>
  <si>
    <t>사용자 주도성</t>
  </si>
  <si>
    <t>search 기반 항목을 제외하고 대체 식으로 UAS 계산</t>
  </si>
  <si>
    <t>검색기록이 없어 사용자 주도성 점수는 부분 판정으로 계산되었습니다.</t>
  </si>
  <si>
    <t>P05_API_PARTIAL</t>
  </si>
  <si>
    <t>Cloud NL 또는 YouTube 보강 API 성공률이 기준 이하(예: 90% 미만)</t>
  </si>
  <si>
    <t>외부 API</t>
  </si>
  <si>
    <t>재시도 후에도 실패하면 partial 상태 저장</t>
  </si>
  <si>
    <t>외부 분석 일부가 실패하여 결과 신뢰도가 낮아졌습니다.</t>
  </si>
  <si>
    <t>D01_TOO_SIMILAR</t>
  </si>
  <si>
    <t>Gemini가 생성한 reverse query가 dominant topic/entity와 너무 유사함</t>
  </si>
  <si>
    <t>디톡스 후보 필터</t>
  </si>
  <si>
    <t>해당 후보 폐기</t>
  </si>
  <si>
    <t>중복되거나 편향을 더 강화할 수 있는 추천은 제외되었습니다.</t>
  </si>
  <si>
    <t>blocked</t>
  </si>
  <si>
    <t>D02_UNSAFE_QUERY</t>
  </si>
  <si>
    <t>생성된 query 또는 설명문이 금칙어/유해성 기준을 통과하지 못함</t>
  </si>
  <si>
    <t>후보 폐기 후 재생성 또는 fallback 사용</t>
  </si>
  <si>
    <t>안전하지 않은 추천은 자동으로 제거되었습니다.</t>
  </si>
  <si>
    <t>D03_NO_SAFE_QUERY</t>
  </si>
  <si>
    <t>후보 필터 통과 query가 0개</t>
  </si>
  <si>
    <t>디톡스 추천</t>
  </si>
  <si>
    <t>템플릿 기반 safe query/mission 제공</t>
  </si>
  <si>
    <t>자동 생성 추천 대신 안전한 기본 미션을 제공합니다.</t>
  </si>
  <si>
    <t>fallback</t>
  </si>
  <si>
    <t>D05_SCHEMA_FAIL</t>
  </si>
  <si>
    <t>Gemini 출력이 JSON schema를 충족하지 않음</t>
  </si>
  <si>
    <t>리포트 생성</t>
  </si>
  <si>
    <t>재생성 1회 수행, 재실패 시 템플릿 리포트 사용</t>
  </si>
  <si>
    <t>설명문 형식을 복원하는 중입니다. 기본 리포트로 대체될 수 있습니다.</t>
  </si>
  <si>
    <t>디톡스 정책 상세표</t>
  </si>
  <si>
    <t>Gemini는 후보를 생성하고, 채택/차단은 규칙 필터가 담당한다. 즉 디톡스 추천도 전적으로 LLM 판단에 맡기지 않는다.</t>
  </si>
  <si>
    <t>정책ID</t>
  </si>
  <si>
    <t>정책명</t>
  </si>
  <si>
    <t>발동 조건</t>
  </si>
  <si>
    <t>사용 기술</t>
  </si>
  <si>
    <t>생성/판정 규칙</t>
  </si>
  <si>
    <t>차단 규칙</t>
  </si>
  <si>
    <t>예외</t>
  </si>
  <si>
    <t>DTX_01</t>
  </si>
  <si>
    <t>bias_risk_score&gt;=40 또는 axis_score 중 하나라도 50 이하</t>
  </si>
  <si>
    <t>low_axes, dominant_topics, dominant_entities, banned_terms, allowed_topic_pool</t>
  </si>
  <si>
    <t>Gemini 2.5 Flash + 규칙필터</t>
  </si>
  <si>
    <t>Gemini는 query_text, target_axis, expected_topic, why_this_helps 구조로 후보 8개를 JSON으로 생성한다. 서버는 길이 2~8 token, 중복 아님, dominant topic과 동일하지 않음, 실행 가능한 검색어 형식인지 검사해 최종 3~5개를 채택한다.</t>
  </si>
  <si>
    <t>dominant topic share&gt;=45%인 topic과 동일, blocked entity 직접 포함, moderation 불합격, 금칙어 포함 시 폐기</t>
  </si>
  <si>
    <t>D01, D02, D03</t>
  </si>
  <si>
    <t>DTX_02</t>
  </si>
  <si>
    <t>3일 미션 생성</t>
  </si>
  <si>
    <t>40&lt;=risk&lt;60 또는 low axis 1개</t>
  </si>
  <si>
    <t>accepted reverse_queries, low_axes, mission_policy</t>
  </si>
  <si>
    <t>Gemini 2.5 Flash + 정책표</t>
  </si>
  <si>
    <t>탐색 확장 1회, 출처 전환 1회, 결과 기록 1회로 총 3일 미션을 구성한다. 각 미션은 title, action_steps, success_condition, blocked_surface를 반드시 가진다.</t>
  </si>
  <si>
    <t>실행 불가능한 추상 문장만 있는 미션, 같은 topic만 반복하는 미션은 폐기</t>
  </si>
  <si>
    <t>3-day mission_json</t>
  </si>
  <si>
    <t>DTX_03</t>
  </si>
  <si>
    <t>7일 미션 생성</t>
  </si>
  <si>
    <t>risk&gt;=60 또는 low axis 2개 이상</t>
  </si>
  <si>
    <t>accepted reverse_queries, low_axes, risk_grade, policy</t>
  </si>
  <si>
    <t>7일 미션은 탐색 확장, 관점 전환, 감정 안정, 주도성 회복을 조합해 생성한다. 예: autoplay 차단, search first 사용, 비우세 topic 2회 탐색, neutral explainer 시청 등. 각 항목은 checkable 해야 한다.</t>
  </si>
  <si>
    <t>유해 category를 강화하는 query, 특정 인물 고착을 심화하는 query, 추상적 자기계발 문구만 제시하는 경우 폐기</t>
  </si>
  <si>
    <t>7-day mission_json</t>
  </si>
  <si>
    <t>D02, D03</t>
  </si>
  <si>
    <t>DTX_04</t>
  </si>
  <si>
    <t>미션 완료 평가</t>
  </si>
  <si>
    <t>사용자 체크 또는 due_date 도달</t>
  </si>
  <si>
    <t>mission_log, completed_count, clicked_queries, viewed_topics</t>
  </si>
  <si>
    <t>completed_ratio=completed_count/recommended_count를 계산하고, 실제 클릭한 query의 expected_topic과 viewed_topic이 일치하는지 확인한다. 수행률 60% 이상이면 재분석 추천을 활성화한다.</t>
  </si>
  <si>
    <t>로그가 없으면 완료로 인정하지 않음</t>
  </si>
  <si>
    <t>mission_progress, reanalysis_flag</t>
  </si>
  <si>
    <t>DTX_05</t>
  </si>
  <si>
    <t>재분석 후 delta 설명</t>
  </si>
  <si>
    <t>reanalysis_flag=Y 또는 사용자가 수동 재분석 실행</t>
  </si>
  <si>
    <t>old_score_run, new_score_run, changed_exceptions, mission_log</t>
  </si>
  <si>
    <t>자체 점수엔진 + Gemini 2.5 Flash</t>
  </si>
  <si>
    <t>점수는 자체 엔진이 다시 계산하고, Gemini는 오직 delta 설명문만 생성한다. 설명문은 어떤 축이 몇 점 개선/악화되었는지 입력값을 그대로 인용해야 한다.</t>
  </si>
  <si>
    <t>Gemini가 새 점수를 임의 생성하거나 수치가 입력과 다르면 저장 금지</t>
  </si>
  <si>
    <t>delta_report_json</t>
  </si>
  <si>
    <t>16유형 판정표</t>
  </si>
  <si>
    <t>16유형은 감성적 별칭이 아니라 4개 이진 차원(D,S,A,O)의 고정 규칙 조합으로 정의한다.</t>
  </si>
  <si>
    <t>유형코드</t>
  </si>
  <si>
    <t>유형명</t>
  </si>
  <si>
    <t>다양성(D)</t>
  </si>
  <si>
    <t>안정성(S)</t>
  </si>
  <si>
    <t>주도성(A)</t>
  </si>
  <si>
    <t>개방성(O)</t>
  </si>
  <si>
    <t>판정 기준</t>
  </si>
  <si>
    <t>사용자 특징</t>
  </si>
  <si>
    <t>우선 디톡스 전략</t>
  </si>
  <si>
    <t>HHHH</t>
  </si>
  <si>
    <t>균형 탐험형</t>
  </si>
  <si>
    <t>High</t>
  </si>
  <si>
    <t>D=(TDS+SBS)/2&gt;=60, S=(EBS+SMS)/2&gt;=60, A=UAS&gt;=55, O=VOS&gt;=55 기준으로 High/Low를 결정한 뒤 4bit code로 유형명 매핑</t>
  </si>
  <si>
    <t>주제·출처가 고르게 분산되고, 감정 자극이 낮으며, 스스로 탐색하는 건강한 패턴</t>
  </si>
  <si>
    <t>유지 전략 중심. 정기 재분석과 가벼운 탐색 미션만 제공</t>
  </si>
  <si>
    <t>HHHL</t>
  </si>
  <si>
    <t>자기주도 고착형</t>
  </si>
  <si>
    <t>Low</t>
  </si>
  <si>
    <t>전반적으로 균형은 좋지만 특정 인물/관점 고착이 남아 있는 패턴</t>
  </si>
  <si>
    <t>관점 전환 query 우선. 특정 entity 반복 소비를 완화</t>
  </si>
  <si>
    <t>HHLH</t>
  </si>
  <si>
    <t>수동 개방형</t>
  </si>
  <si>
    <t>다양성과 안정성은 좋으나 스스로 탐색하는 비중이 낮은 패턴</t>
  </si>
  <si>
    <t>search-first 미션과 following/subscription 탐색을 늘림</t>
  </si>
  <si>
    <t>HHLL</t>
  </si>
  <si>
    <t>잠복 버블형</t>
  </si>
  <si>
    <t>겉보기 다양성은 있으나 실제로는 수동적이고 관점 고착이 남은 패턴</t>
  </si>
  <si>
    <t>주도성 회복 + 관점 전환 미션을 동시에 배치</t>
  </si>
  <si>
    <t>HLHH</t>
  </si>
  <si>
    <t>감정 과열 탐험형</t>
  </si>
  <si>
    <t>여러 주제를 보지만 감정 자극 비중이 높아 쉽게 과열되는 패턴</t>
  </si>
  <si>
    <t>감정 안정형 미션과 neutral explainer query 우선</t>
  </si>
  <si>
    <t>HLHL</t>
  </si>
  <si>
    <t>주도 과열 고착형</t>
  </si>
  <si>
    <t>직접 검색은 하지만 자극적·편향적 주제를 반복 강화하는 패턴</t>
  </si>
  <si>
    <t>자극 저감 + 고착 완화 미션 동시 적용</t>
  </si>
  <si>
    <t>HLLH</t>
  </si>
  <si>
    <t>수동 과열 개방형</t>
  </si>
  <si>
    <t>다양성은 있으나 수동 소비와 감정 과열이 함께 나타나는 패턴</t>
  </si>
  <si>
    <t>수동 소비 차단(surface control) 미션 우선</t>
  </si>
  <si>
    <t>HLLL</t>
  </si>
  <si>
    <t>과열 버블형</t>
  </si>
  <si>
    <t>주제는 여러 개지만 실제로는 자극적이고 수동적인 버블 소비 패턴</t>
  </si>
  <si>
    <t>감정 안정·주도성 회복·관점 전환을 묶은 7일 미션</t>
  </si>
  <si>
    <t>LHHH</t>
  </si>
  <si>
    <t>좁은 탐험형</t>
  </si>
  <si>
    <t>채널이나 주제 폭은 좁지만 비교적 안정적이며 능동 탐색이 있는 패턴</t>
  </si>
  <si>
    <t>주제 확장과 신규 출처 탐색 미션 우선</t>
  </si>
  <si>
    <t>LHHL</t>
  </si>
  <si>
    <t>주도 단일출처형</t>
  </si>
  <si>
    <t>출처가 좁고 특정 관점에 고착되기 쉬운 자기주도 편향 패턴</t>
  </si>
  <si>
    <t>출처 전환과 관점 전환 query를 함께 제안</t>
  </si>
  <si>
    <t>LHLH</t>
  </si>
  <si>
    <t>수동 단일주제형</t>
  </si>
  <si>
    <t>좁은 주제를 수동적으로 보지만 감정 자극은 낮은 패턴</t>
  </si>
  <si>
    <t>주제 다양성 확대와 search habit 형성 미션</t>
  </si>
  <si>
    <t>LHLL</t>
  </si>
  <si>
    <t>단일출처 버블형</t>
  </si>
  <si>
    <t>단일 출처·단일 주제를 반복하는 전형적 버블 진입 패턴</t>
  </si>
  <si>
    <t>신규 출처·비우세 topic 강제 탐색형 미션</t>
  </si>
  <si>
    <t>LLHH</t>
  </si>
  <si>
    <t>불안정 탐색형</t>
  </si>
  <si>
    <t>좁은 주제 폭과 감정 과열이 있지만 스스로 해소 시도를 하는 패턴</t>
  </si>
  <si>
    <t>감정 안정 + 신규 주제 탐색 병행</t>
  </si>
  <si>
    <t>LLHL</t>
  </si>
  <si>
    <t>불안정 고착형</t>
  </si>
  <si>
    <t>감정 과열과 관점 고착이 결합된 자기주도 편향 패턴</t>
  </si>
  <si>
    <t>고착 주체와 자극 노출을 동시에 낮추는 미션</t>
  </si>
  <si>
    <t>LLLH</t>
  </si>
  <si>
    <t>흔들리는 수동형</t>
  </si>
  <si>
    <t>수동 소비, 감정 과열, 낮은 다양성이 동시에 나타나는 불안정 패턴</t>
  </si>
  <si>
    <t>7일 미션 기본 적용, autoplay/home 의존을 줄임</t>
  </si>
  <si>
    <t>LLLL</t>
  </si>
  <si>
    <t>고위험 폐쇄형</t>
  </si>
  <si>
    <t>모든 핵심 차원이 low인 최우선 디톡스 대상 패턴</t>
  </si>
  <si>
    <t>가장 보수적인 safe mission 세트와 빠른 재분석 권장</t>
  </si>
  <si>
    <t>무료 단계 운영안 / 유료 확장안</t>
  </si>
  <si>
    <t>초기 MVP는 가능한 한 무료로 완수하고, rate limit·문자량·DB 용량이 실제로 한계를 넘을 때만 같은 계열로 확장하는 현실적인 구조를 권고한다.</t>
  </si>
  <si>
    <t>적용 시점</t>
  </si>
  <si>
    <t>이유</t>
  </si>
  <si>
    <t>장점</t>
  </si>
  <si>
    <t>한계</t>
  </si>
  <si>
    <t>전환 조건</t>
  </si>
  <si>
    <t>무료 단계 기본 운영</t>
  </si>
  <si>
    <t>킥오프~내부 MVP</t>
  </si>
  <si>
    <t>Supabase Free(예: DB size 500MB/project, egress 5GB, MAU 50,000) + YouTube Data API 기본 quota + Cloud NL 무료 월 한도 + Gemini 2.5 Flash free tier</t>
  </si>
  <si>
    <t>초기 비용 없이 업로드→분석→리포트→디톡스까지 전체 흐름을 검증하기 위함</t>
  </si>
  <si>
    <t>초기 도입 장벽이 낮고 팀 프로젝트에 적합하며 구조를 나중에 그대로 유료로 확장 가능</t>
  </si>
  <si>
    <t>동시 사용자, DB 용량, LLM rate limit, 대량 재분석에는 취약</t>
  </si>
  <si>
    <t>내부 테스트 인원 증가 또는 free tier/rate limit 경고가 반복될 때</t>
  </si>
  <si>
    <t>https://supabase.com/pricing</t>
  </si>
  <si>
    <t>무료 단계 LLM 운영</t>
  </si>
  <si>
    <t>문구/리포트 품질 검증 단계</t>
  </si>
  <si>
    <t>Gemini 2.5 Flash free tier</t>
  </si>
  <si>
    <t>무료 단계의 메인 LLM으로 사용하면서 reverse query와 리포트 JSON 구조를 먼저 확정하기 위함</t>
  </si>
  <si>
    <t>structured output 지원, 같은 계열로 유료 확장 가능</t>
  </si>
  <si>
    <t>free tier 요청량과 rate limit에 좌우됨</t>
  </si>
  <si>
    <t>시연 직전 안정적인 호출량 보장이 필요하거나 free tier rate limit에 막힐 때</t>
  </si>
  <si>
    <t>무료 단계 정량 분석</t>
  </si>
  <si>
    <t>6축 PoC 및 평가셋 튜닝 초기</t>
  </si>
  <si>
    <t>Cloud Natural Language API(월 무료 한도: sentiment/entity/entity sentiment 첫 5K units, classification 첫 30K units, moderation 첫 50K units)</t>
  </si>
  <si>
    <t>sentiment/entity/classification/moderation을 공식 분석 API로 받아 scoring input으로 고정하기 위함</t>
  </si>
  <si>
    <t>feature별 무료 월 한도가 있어 MVP 문자량에서는 비용 없이 검증 가능</t>
  </si>
  <si>
    <t>지원 언어/텍스트 길이 제약이 있으며, 한도 초과 시 pay-as-you-go</t>
  </si>
  <si>
    <t>월 문자량이 무료 한도를 넘거나 반복 재분석이 많아질 때</t>
  </si>
  <si>
    <t>https://cloud.google.com/natural-language/pricing</t>
  </si>
  <si>
    <t>유료 LLM 확장</t>
  </si>
  <si>
    <t>시연 안정화/사용자 증가 이후</t>
  </si>
  <si>
    <t>Gemini 2.5 Flash billed tier</t>
  </si>
  <si>
    <t>free tier의 rate limit 불확실성을 줄이고 안정적으로 설명·추천 생성량을 확보하기 위함</t>
  </si>
  <si>
    <t>모델 변경 없이 같은 프롬프트와 schema를 유지 가능</t>
  </si>
  <si>
    <t>토큰 사용량에 따라 비용 발생</t>
  </si>
  <si>
    <t>리포트 생성이 하루 여러 차례 누적되거나 공식 데모 안정성이 필요할 때</t>
  </si>
  <si>
    <t>유료 배치 확장</t>
  </si>
  <si>
    <t>재분석/대량 리포트 운영 시</t>
  </si>
  <si>
    <t>Gemini 2.5 Flash-Lite batch</t>
  </si>
  <si>
    <t>대량 리포트·야간 배치 재생성 비용을 낮추기 위함</t>
  </si>
  <si>
    <t>같은 Gemini 계열 유지, 2.5 Flash 대비 단가가 낮음</t>
  </si>
  <si>
    <t>기본 모델보다 표현 품질 차이가 있을 수 있어 사용자 노출용 최종 문구는 Flash 유지 권장</t>
  </si>
  <si>
    <t>월간 배치 리포트 건수가 많아져 Flash 단독 운용이 비효율적일 때</t>
  </si>
  <si>
    <t>유료 NLP 확장</t>
  </si>
  <si>
    <t>full dataset 재분석/학기말 대량 검증 시</t>
  </si>
  <si>
    <t>Cloud Natural Language API pay-as-you-go</t>
  </si>
  <si>
    <t>무료 한도 초과 후에도 같은 scoring 구조를 유지하기 위함</t>
  </si>
  <si>
    <t>점수 산식과 코드 변경 없이 데이터 양만 늘려 검증 가능</t>
  </si>
  <si>
    <t>호출 feature와 문자량에 따라 비용이 누적</t>
  </si>
  <si>
    <t>평가 데이터셋이 커져 월 무료 문자량을 지속적으로 초과할 때</t>
  </si>
  <si>
    <t>DB/Infra 확장</t>
  </si>
  <si>
    <t>사용자/데이터량 증가 시</t>
  </si>
  <si>
    <t>Supabase Pro(예: DB 8GB included, egress 250GB included, MAU 100,000 included)</t>
  </si>
  <si>
    <t>Free의 DB size·egress·MAU 한계를 넘을 때도 같은 스키마를 유지하기 위함</t>
  </si>
  <si>
    <t>Postgres, Auth, Storage, RLS를 그대로 유지한 채 상향 가능</t>
  </si>
  <si>
    <t>월 고정비 + 사용량 비용 발생</t>
  </si>
  <si>
    <t>DB size 500MB 접근, egress 증가, MAU 증가, 서비스 중단 없는 운영이 필요할 때</t>
  </si>
  <si>
    <t>무료 단계 DB/Auth/Storage</t>
  </si>
  <si>
    <t>Supabase Free(50,000 MAU, 500MB DB, 5GB egress, 1GB file storage)</t>
  </si>
  <si>
    <t>비용 없이 로그인·파일업로드·DB 저장까지 MVP를 완수하기 위함</t>
  </si>
  <si>
    <t>DB/Auth/Storage를 한 번에 확보 가능</t>
  </si>
  <si>
    <t>용량/egress/동시 사용자에 한계</t>
  </si>
  <si>
    <t>업로드 파일과 분석 이력이 누적되어 Free 한계를 반복적으로 넘을 때</t>
  </si>
  <si>
    <t>무료 단계 YouTube 보강</t>
  </si>
  <si>
    <t>원천데이터 보강 초기</t>
  </si>
  <si>
    <t>YouTube Data API 기본 quota(10,000 units/day) + videos.list/channels.list</t>
  </si>
  <si>
    <t>원천 파일만으로 부족한 title/description/topicDetails를 저비용으로 보강하기 위함</t>
  </si>
  <si>
    <t>videos.list/channels.list는 1 unit이라 교육용 MVP에서 부담이 작음</t>
  </si>
  <si>
    <t>search.list는 100 units/call이라 기본 흐름에 부적합</t>
  </si>
  <si>
    <t>기본 quota 경고가 누적되거나 public search 기능을 추가할 때</t>
  </si>
  <si>
    <t>https://developers.google.com/youtube/v3/determine_quota_cost</t>
  </si>
  <si>
    <t>유료 분석 API 확장</t>
  </si>
  <si>
    <t>월 문자량 증가 시</t>
  </si>
  <si>
    <t>sentiment/entity/classification/moderation 문자량이 무료 월 한도를 넘을 때만 비용 지불</t>
  </si>
  <si>
    <t>기존 코드 변경 없이 문자량만큼 확장 가능</t>
  </si>
  <si>
    <t>반복 재분석이 많으면 비용이 누적됨</t>
  </si>
  <si>
    <t>월간 분석 문자량이 무료 한도를 넘어갈 때</t>
  </si>
  <si>
    <t>유료 DB 확장</t>
  </si>
  <si>
    <t>외부 시연/사용자 증가 이후</t>
  </si>
  <si>
    <t>Supabase Pro(100,000 MAU, 8GB disk, 250GB egress)</t>
  </si>
  <si>
    <t>Free 플랜의 DB 용량/egress 제한을 넘을 때 같은 구조로 확장하기 위함</t>
  </si>
  <si>
    <t>스키마/코드 변경 없이 상향 가능</t>
  </si>
  <si>
    <t>월 비용 발생</t>
  </si>
  <si>
    <t>공식 데모 또는 팀 외부 사용자 테스트가 늘 때</t>
  </si>
  <si>
    <t>DBMS / 아키텍처 설계 (최종 채택: Supabase)</t>
  </si>
  <si>
    <t>최종 채택 DBMS는 Supabase(PostgreSQL)이며, 인증은 Supabase Auth, 파일 저장은 Supabase Storage, 접근 제어는 Row Level Security(RLS)를 사용한다. MVP는 관계형 집계 + Python 계산으로 구현하고, pgvector는 선택적 고도화로만 둔다.</t>
  </si>
  <si>
    <t>항목명</t>
  </si>
  <si>
    <t>유형/테이블</t>
  </si>
  <si>
    <t>저장/역할</t>
  </si>
  <si>
    <t>핵심 필드</t>
  </si>
  <si>
    <t>선택/설계 이유</t>
  </si>
  <si>
    <t>무료 단계</t>
  </si>
  <si>
    <t>유료 확장</t>
  </si>
  <si>
    <t>아키텍처</t>
  </si>
  <si>
    <t>Front-end</t>
  </si>
  <si>
    <t>사용자 화면, 업로드, 대시보드, 미션 체크</t>
  </si>
  <si>
    <t>page route, chart props, auth token</t>
  </si>
  <si>
    <t>프론트와 시각화 분리가 쉽고 Plotly 연동이 편함</t>
  </si>
  <si>
    <t>가능</t>
  </si>
  <si>
    <t>동일 유지</t>
  </si>
  <si>
    <t>Back-end</t>
  </si>
  <si>
    <t>FastAPI(Python)</t>
  </si>
  <si>
    <t>파일 파싱, 외부 API 연동, scoring engine, report 생성 orchestration</t>
  </si>
  <si>
    <t>request_id, dataset_id, analysis_id</t>
  </si>
  <si>
    <t>Cloud NL/Gemini 연동과 수식 로직 구현이 쉽고 OpenAPI 자동 문서화 가능</t>
  </si>
  <si>
    <t>DBMS Core</t>
  </si>
  <si>
    <t>Supabase Postgres</t>
  </si>
  <si>
    <t>정규화 이벤트와 결과를 관계형으로 저장</t>
  </si>
  <si>
    <t>user_id, dataset_id, analysis_id, JSONB columns</t>
  </si>
  <si>
    <t>시간축 집계, HHI, entropy, versioning처럼 SQL이 필요한 구조에 적합</t>
  </si>
  <si>
    <t>Pro 전환</t>
  </si>
  <si>
    <t>Object Storage</t>
  </si>
  <si>
    <t>Supabase Storage</t>
  </si>
  <si>
    <t>원천 업로드 파일 저장</t>
  </si>
  <si>
    <t>bucket, object_path, hash</t>
  </si>
  <si>
    <t>raw 파일 관리와 삭제 추적이 쉬움</t>
  </si>
  <si>
    <t>용량 확장</t>
  </si>
  <si>
    <t>https://supabase.com/docs/guides/storage</t>
  </si>
  <si>
    <t>Auth/RLS</t>
  </si>
  <si>
    <t>Supabase Auth + Row Level Security</t>
  </si>
  <si>
    <t>사용자별 데이터 격리</t>
  </si>
  <si>
    <t>auth.uid(), user_id</t>
  </si>
  <si>
    <t>팀 규모에서 인증/권한을 가장 빠르게 안전하게 구성 가능</t>
  </si>
  <si>
    <t>https://supabase.com/docs/guides/database/postgres/row-level-security</t>
  </si>
  <si>
    <t>작업 큐</t>
  </si>
  <si>
    <t>DB queue table + worker</t>
  </si>
  <si>
    <t>upload→analyze→report 순차 처리</t>
  </si>
  <si>
    <t>job_type, status, retry_count</t>
  </si>
  <si>
    <t>무료 MVP에서 Redis/Celery를 추가하지 않고도 구현 가능</t>
  </si>
  <si>
    <t>전용 queue/worker 확장</t>
  </si>
  <si>
    <t>테이블</t>
  </si>
  <si>
    <t>profiles</t>
  </si>
  <si>
    <t>table</t>
  </si>
  <si>
    <t>사용자 기본 정보</t>
  </si>
  <si>
    <t>id, email, display_name, created_at</t>
  </si>
  <si>
    <t>Auth와 분석 결과를 연결하는 기준 키</t>
  </si>
  <si>
    <t>consent_log</t>
  </si>
  <si>
    <t>동의 이력 저장</t>
  </si>
  <si>
    <t>user_id, consent_version, agreed_at</t>
  </si>
  <si>
    <t>분석 실행 가능 여부를 명확히 남기기 위함</t>
  </si>
  <si>
    <t>raw_file</t>
  </si>
  <si>
    <t>업로드 파일 메타</t>
  </si>
  <si>
    <t>dataset_id, file_name, platform, hash, storage_path</t>
  </si>
  <si>
    <t>중복 업로드 방지와 삭제 추적</t>
  </si>
  <si>
    <t>raw_event</t>
  </si>
  <si>
    <t>원천 파싱 결과</t>
  </si>
  <si>
    <t>dataset_id, raw_payload, parser_name, parse_status</t>
  </si>
  <si>
    <t>문제 발생 시 원본 재현 가능</t>
  </si>
  <si>
    <t>공통 이벤트 스키마</t>
  </si>
  <si>
    <t>dataset_id, event_time, platform, action_type, source_surface, text_base</t>
  </si>
  <si>
    <t>모든 분석의 단일 진입 테이블</t>
  </si>
  <si>
    <t>분류용 텍스트</t>
  </si>
  <si>
    <t>session_id, dataset_id, session_text, token_count</t>
  </si>
  <si>
    <t>20토큰 규칙 대응과 topic 분류 품질 확보</t>
  </si>
  <si>
    <t>영상 메타 보강</t>
  </si>
  <si>
    <t>video_id, title, description, category_id, topic_json</t>
  </si>
  <si>
    <t>YouTube 텍스트 보강과 fallback 사용</t>
  </si>
  <si>
    <t>채널 메타 보강</t>
  </si>
  <si>
    <t>channel_id, title, topic_json</t>
  </si>
  <si>
    <t>출처 다양성 시각화와 계산 지원</t>
  </si>
  <si>
    <t>table(JSONB 포함)</t>
  </si>
  <si>
    <t>Cloud NL 원본 결과 저장</t>
  </si>
  <si>
    <t>item_id/session_id, feature_flags, response_json, language_code</t>
  </si>
  <si>
    <t>점수 재현성과 디버깅 확보</t>
  </si>
  <si>
    <t>score_run</t>
  </si>
  <si>
    <t>분석 실행 단위 요약</t>
  </si>
  <si>
    <t>analysis_id, dataset_id, risk_score, grade, confidence_level, version</t>
  </si>
  <si>
    <t>재분석과 비교의 기준점</t>
  </si>
  <si>
    <t>score_axis</t>
  </si>
  <si>
    <t>축별 점수 저장</t>
  </si>
  <si>
    <t>analysis_id, axis_code, axis_score, detail_json</t>
  </si>
  <si>
    <t>6축 카드/차트 렌더링에 직접 사용</t>
  </si>
  <si>
    <t>detox_plan</t>
  </si>
  <si>
    <t>reverse query와 mission 저장</t>
  </si>
  <si>
    <t>analysis_id, reverse_queries_json, mission_json</t>
  </si>
  <si>
    <t>LLM 생성 결과와 정책 버전 분리 저장</t>
  </si>
  <si>
    <t>사용자 리포트 저장</t>
  </si>
  <si>
    <t>과거 결과 복원과 비교 지원</t>
  </si>
  <si>
    <t>외부 API/삭제/재분석 로그</t>
  </si>
  <si>
    <t>event_type, target_id, status_code, created_at</t>
  </si>
  <si>
    <t>장애/비용/삭제 추적에 필요</t>
  </si>
  <si>
    <t>정책</t>
  </si>
  <si>
    <t>RLS 정책</t>
  </si>
  <si>
    <t>policy</t>
  </si>
  <si>
    <t>user_id=auth.uid() 조건으로 profiles, consent, dataset, analysis, report 조회/수정 제한</t>
  </si>
  <si>
    <t>브라우저에서 직접 읽는 모든 테이블은 본인 행만 허용</t>
  </si>
  <si>
    <t>사용자별 데이터 격리를 강제하기 위한 핵심 정책</t>
  </si>
  <si>
    <t>service_role 사용 원칙</t>
  </si>
  <si>
    <t>secret rule</t>
  </si>
  <si>
    <t>브라우저에 노출하지 않고 백엔드 서버에서만 사용</t>
  </si>
  <si>
    <t>SUPABASE_SERVICE_ROLE_KEY</t>
  </si>
  <si>
    <t>Storage 삭제, 관리자성 작업, batch delete 용도</t>
  </si>
  <si>
    <t>클라이언트에 secret이 노출되면 전체 데이터 접근 위험이 있기 때문</t>
  </si>
  <si>
    <t>스토리지</t>
  </si>
  <si>
    <t>raw-private</t>
  </si>
  <si>
    <t>bucket</t>
  </si>
  <si>
    <t>사용자 업로드 원천 파일 보관(비공개)</t>
  </si>
  <si>
    <t>bucket, object_path, sha256_hash</t>
  </si>
  <si>
    <t>원천 파일 재현성과 삭제 추적</t>
  </si>
  <si>
    <t>업로드 파일은 사용자 공개 대상이 아니므로 private bucket이 적절</t>
  </si>
  <si>
    <t>template-public</t>
  </si>
  <si>
    <t>업로드용 템플릿 파일 공개 배포</t>
  </si>
  <si>
    <t>bucket, object_path</t>
  </si>
  <si>
    <t>플랫폼별 템플릿 다운로드 링크 제공</t>
  </si>
  <si>
    <t>템플릿은 공개해도 무방하므로 public bucket 또는 정적 파일 가능</t>
  </si>
  <si>
    <t>analysis_job</t>
  </si>
  <si>
    <t>분석 단계 상태와 retry 관리</t>
  </si>
  <si>
    <t>analysis_id, dataset_id, status, current_stage, retry_count</t>
  </si>
  <si>
    <t>UI04 진행상태 polling과 재시도 제어</t>
  </si>
  <si>
    <t>미션 체크 상태 저장</t>
  </si>
  <si>
    <t>미션 수행률 계산과 재분석 권고</t>
  </si>
  <si>
    <t>old/new 분석 결과 차이 저장</t>
  </si>
  <si>
    <t>UI09 비교 결과 즉시 조회</t>
  </si>
  <si>
    <t>인덱스</t>
  </si>
  <si>
    <t>idx_norm_event_dataset_time</t>
  </si>
  <si>
    <t>btree index</t>
  </si>
  <si>
    <t>dataset별 기간 조회 가속</t>
  </si>
  <si>
    <t>dataset_id, event_time</t>
  </si>
  <si>
    <t>타임라인 집계와 세션 생성 성능 확보</t>
  </si>
  <si>
    <t>idx_score_axis_analysis</t>
  </si>
  <si>
    <t>analysis별 축 점수 조회 가속</t>
  </si>
  <si>
    <t>analysis_id, axis_code</t>
  </si>
  <si>
    <t>레이더/축 카드 응답 성능 확보</t>
  </si>
  <si>
    <t>uq_raw_file_hash_user</t>
  </si>
  <si>
    <t>unique index</t>
  </si>
  <si>
    <t>중복 업로드 방지</t>
  </si>
  <si>
    <t>user_id, sha256_hash</t>
  </si>
  <si>
    <t>같은 파일을 반복 업로드하는 문제 방지</t>
  </si>
  <si>
    <t>선택 확장</t>
  </si>
  <si>
    <t>pgvector(선택)</t>
  </si>
  <si>
    <t>extension</t>
  </si>
  <si>
    <t>향후 semantic retrieval 또는 임베딩 저장이 필요할 때만 사용</t>
  </si>
  <si>
    <t>vector(n)</t>
  </si>
  <si>
    <t>MVP 필수는 아니고 고도화 단계 선택 확장</t>
  </si>
  <si>
    <t>초기 단계 복잡도를 줄이기 위해 관계형+Python 계산을 우선 채택</t>
  </si>
  <si>
    <t>선택적</t>
  </si>
  <si>
    <t>고도화 시 활성화</t>
  </si>
  <si>
    <t>https://supabase.com/docs/guides/database/extensions/pgvector</t>
  </si>
  <si>
    <t>UI 화면 정의</t>
  </si>
  <si>
    <t>나중에 실제 UI 설계를 할 때 바로 wireframe으로 옮길 수 있도록 화면 목적·컴포넌트·표시 데이터·예외 상태까지 적었다. 화면별 호출 순서와 요청/응답은 '화면_API흐름' 시트를 참조한다.</t>
  </si>
  <si>
    <t>화면ID</t>
  </si>
  <si>
    <t>화면명</t>
  </si>
  <si>
    <t>주요 UI 컴포넌트</t>
  </si>
  <si>
    <t>표시 데이터</t>
  </si>
  <si>
    <t>연결 API</t>
  </si>
  <si>
    <t>예외/빈 상태</t>
  </si>
  <si>
    <t>완료 기준</t>
  </si>
  <si>
    <t>UI01</t>
  </si>
  <si>
    <t>로그인/시작</t>
  </si>
  <si>
    <t>사용자 인증과 시작 경로 제공</t>
  </si>
  <si>
    <t>로그인 폼, 소개 카드, 최근 분석 바로가기</t>
  </si>
  <si>
    <t>email/test login</t>
  </si>
  <si>
    <t>로그인 상태, 최근 dataset 요약</t>
  </si>
  <si>
    <t>/auth/*, /dashboard/recent</t>
  </si>
  <si>
    <t>세션 만료, 로그인 실패</t>
  </si>
  <si>
    <t>로그인 후 본인 데이터만 보이면 완료</t>
  </si>
  <si>
    <t>UI02</t>
  </si>
  <si>
    <t>동의/데이터 선택</t>
  </si>
  <si>
    <t>동의 획득과 업로드 유형 선택</t>
  </si>
  <si>
    <t>동의 체크박스, 플랫폼 카드, 템플릿 다운로드</t>
  </si>
  <si>
    <t>consent 체크, platform 선택</t>
  </si>
  <si>
    <t>동의 상태, 업로드 가이드</t>
  </si>
  <si>
    <t>/consent, /templates</t>
  </si>
  <si>
    <t>미동의 상태</t>
  </si>
  <si>
    <t>동의 없이는 다음 단계 이동 불가</t>
  </si>
  <si>
    <t>UI03</t>
  </si>
  <si>
    <t>업로드 위저드</t>
  </si>
  <si>
    <t>파일 업로드와 검증 결과 안내</t>
  </si>
  <si>
    <t>drag&amp;drop, 파일 리스트, 컬럼 가이드, 검증 결과 패널</t>
  </si>
  <si>
    <t>file, platform</t>
  </si>
  <si>
    <t>validation_errors, dataset_id, progress</t>
  </si>
  <si>
    <t>/datasets/upload, /datasets/{id}/map</t>
  </si>
  <si>
    <t>필수 컬럼 누락, 중복 파일, 인코딩 오류</t>
  </si>
  <si>
    <t>오류 위치와 수정 기준이 보이면 완료</t>
  </si>
  <si>
    <t>UI04</t>
  </si>
  <si>
    <t>분석 진행상태</t>
  </si>
  <si>
    <t>현재 단계와 실패 여부를 보여줌</t>
  </si>
  <si>
    <t>stepper, status badge, retry 버튼</t>
  </si>
  <si>
    <t>analysis start click</t>
  </si>
  <si>
    <t>parse/meta/nlp/score/report 단계별 상태</t>
  </si>
  <si>
    <t>/analyses, /analyses/{id}</t>
  </si>
  <si>
    <t>외부 API 일부 실패, 판정보류</t>
  </si>
  <si>
    <t>단계별 상태가 실시간으로 갱신되면 완료</t>
  </si>
  <si>
    <t>UI05</t>
  </si>
  <si>
    <t>요약 대시보드</t>
  </si>
  <si>
    <t>한눈에 결과 이해</t>
  </si>
  <si>
    <t>신호등 카드, risk score 카드, 요약 문장, 예외 badge</t>
  </si>
  <si>
    <t>없음</t>
  </si>
  <si>
    <t>risk_score, grade, confidence, summary</t>
  </si>
  <si>
    <t>/dashboard/{analysis_id}</t>
  </si>
  <si>
    <t>결과 없음, HOLD 상태</t>
  </si>
  <si>
    <t>점수·등급·예외가 동시에 보이면 완료</t>
  </si>
  <si>
    <t>6축/16유형 상세</t>
  </si>
  <si>
    <t>축별 점수와 소비 성향 설명</t>
  </si>
  <si>
    <t>레이더 차트, 축 카드 6개, 16유형 카드, 이유 툴팁</t>
  </si>
  <si>
    <t>탭 전환</t>
  </si>
  <si>
    <t>axis_scores, type_code, type_name, axis_comments</t>
  </si>
  <si>
    <t>/types/{analysis_id}, /dashboard/{analysis_id}</t>
  </si>
  <si>
    <t>partial axis</t>
  </si>
  <si>
    <t>각 축 근거를 사용자에게 설명할 수 있으면 완료</t>
  </si>
  <si>
    <t>타임라인/주제/출처 시각화</t>
  </si>
  <si>
    <t>왜 이런 점수가 나왔는지 시간 흐름으로 설명</t>
  </si>
  <si>
    <t>topic bar, source concentration chart, sentiment histogram, moderation trend</t>
  </si>
  <si>
    <t>기간 필터</t>
  </si>
  <si>
    <t>topic distribution, source HHI trend, sentiment distribution</t>
  </si>
  <si>
    <t>/timeline/{analysis_id}</t>
  </si>
  <si>
    <t>시각화 대상 데이터 부족</t>
  </si>
  <si>
    <t>차트가 score와 모순되지 않으면 완료</t>
  </si>
  <si>
    <t>디톡스 미션 센터</t>
  </si>
  <si>
    <t>reverse query와 행동 미션 수행 지원</t>
  </si>
  <si>
    <t>query 카드, mission checklist, 완료 버튼, due date</t>
  </si>
  <si>
    <t>mission complete click</t>
  </si>
  <si>
    <t>accepted queries, mission_json, progress</t>
  </si>
  <si>
    <t>/detox/plans, /detox/plans/{id}/status</t>
  </si>
  <si>
    <t>안전 후보 없음, fallback mission</t>
  </si>
  <si>
    <t>미션 체크 후 상태가 저장되면 완료</t>
  </si>
  <si>
    <t>리포트/비교</t>
  </si>
  <si>
    <t>현재 결과와 과거 결과 비교</t>
  </si>
  <si>
    <t>report accordion, delta card, compare chart, download button</t>
  </si>
  <si>
    <t>비교 대상 선택</t>
  </si>
  <si>
    <t>report_json, old/new delta</t>
  </si>
  <si>
    <t>/reports/{analysis_id}, /compare/{analysis_id}</t>
  </si>
  <si>
    <t>이전 결과 없음</t>
  </si>
  <si>
    <t>old/new 차이와 이유가 보이면 완료</t>
  </si>
  <si>
    <t>설정/삭제</t>
  </si>
  <si>
    <t>데이터 관리와 권리 행사</t>
  </si>
  <si>
    <t>dataset 목록, 삭제 버튼, 동의 철회, 재업로드</t>
  </si>
  <si>
    <t>delete click</t>
  </si>
  <si>
    <t>dataset 목록, 보관 상태, 삭제 결과</t>
  </si>
  <si>
    <t>/datasets/{id}, /consent/revoke</t>
  </si>
  <si>
    <t>삭제 실패</t>
  </si>
  <si>
    <t>삭제 후 조회가 차단되면 완료</t>
  </si>
  <si>
    <t>내부 API 명세 초안</t>
  </si>
  <si>
    <t>프론트엔드가 호출하는 내부 API 기준으로 정리했다. 외부 API(Cloud NL, Gemini, YouTube)는 서버 내부 orchestration 단계에서만 호출한다. 상세 요청/응답 JSON과 화면별 흐름은 'API_명세_상세'와 '화면_API흐름' 시트를 참조한다.</t>
  </si>
  <si>
    <t>API ID</t>
  </si>
  <si>
    <t>Method</t>
  </si>
  <si>
    <t>Endpoint</t>
  </si>
  <si>
    <t>요청</t>
  </si>
  <si>
    <t>응답</t>
  </si>
  <si>
    <t>서버 처리</t>
  </si>
  <si>
    <t>사용 화면</t>
  </si>
  <si>
    <t>외부 연동</t>
  </si>
  <si>
    <t>AUTH_01</t>
  </si>
  <si>
    <t>POST</t>
  </si>
  <si>
    <t>/auth/demo-login</t>
  </si>
  <si>
    <t>email 또는 test credential</t>
  </si>
  <si>
    <t>session token, user profile</t>
  </si>
  <si>
    <t>Supabase Auth로 로그인 처리</t>
  </si>
  <si>
    <t>테스트 계정 가능</t>
  </si>
  <si>
    <t>CONSENT_01</t>
  </si>
  <si>
    <t>/consent</t>
  </si>
  <si>
    <t>consent_version, agreed_yn</t>
  </si>
  <si>
    <t>consent saved</t>
  </si>
  <si>
    <t>consent_log 저장</t>
  </si>
  <si>
    <t>미동의 시 분석 차단</t>
  </si>
  <si>
    <t>UPLOAD_01</t>
  </si>
  <si>
    <t>/datasets/upload</t>
  </si>
  <si>
    <t>multipart file, platform</t>
  </si>
  <si>
    <t>dataset_id, validation_result</t>
  </si>
  <si>
    <t>파일 저장, raw_file 생성, 검증 실행</t>
  </si>
  <si>
    <t>업로드 시작점</t>
  </si>
  <si>
    <t>UPLOAD_02</t>
  </si>
  <si>
    <t>/datasets/{id}/map</t>
  </si>
  <si>
    <t>column mapping(optional)</t>
  </si>
  <si>
    <t>mapping saved</t>
  </si>
  <si>
    <t>raw_event→norm_event 정규화 시작</t>
  </si>
  <si>
    <t>generic CSV 대응</t>
  </si>
  <si>
    <t>ANALYSIS_01</t>
  </si>
  <si>
    <t>/analyses</t>
  </si>
  <si>
    <t>dataset_id, analysis_window</t>
  </si>
  <si>
    <t>analysis_id, queued status</t>
  </si>
  <si>
    <t>job queue 등록</t>
  </si>
  <si>
    <t>비동기 실행</t>
  </si>
  <si>
    <t>ANALYSIS_02</t>
  </si>
  <si>
    <t>GET</t>
  </si>
  <si>
    <t>/analyses/{analysis_id}</t>
  </si>
  <si>
    <t>analysis_id</t>
  </si>
  <si>
    <t>stage status, exception_codes</t>
  </si>
  <si>
    <t>진행 상태 조회</t>
  </si>
  <si>
    <t>progress polling</t>
  </si>
  <si>
    <t>DASH_01</t>
  </si>
  <si>
    <t>risk_score, grade, axis summary, summary text</t>
  </si>
  <si>
    <t>score_run/score_axis/report_snapshot 집계</t>
  </si>
  <si>
    <t>UI05~UI06</t>
  </si>
  <si>
    <t>점수는 DB값</t>
  </si>
  <si>
    <t>TYPE_01</t>
  </si>
  <si>
    <t>/types/{analysis_id}</t>
  </si>
  <si>
    <t>type_code, type_name, dimension bits</t>
  </si>
  <si>
    <t>16유형 매핑 테이블 조회</t>
  </si>
  <si>
    <t>고정 규칙표</t>
  </si>
  <si>
    <t>VIS_01</t>
  </si>
  <si>
    <t>analysis_id, date filter</t>
  </si>
  <si>
    <t>topic/source/sentiment/moderation series</t>
  </si>
  <si>
    <t>시각화용 집계 반환</t>
  </si>
  <si>
    <t>차트 전용</t>
  </si>
  <si>
    <t>DETOX_01</t>
  </si>
  <si>
    <t>/detox/plans</t>
  </si>
  <si>
    <t>reverse_queries, mission_json</t>
  </si>
  <si>
    <t>Gemini 호출→정책 필터→detox_plan 저장</t>
  </si>
  <si>
    <t>생성은 점수 확정 후</t>
  </si>
  <si>
    <t>DETOX_02</t>
  </si>
  <si>
    <t>PATCH</t>
  </si>
  <si>
    <t>/detox/plans/{id}/status</t>
  </si>
  <si>
    <t>mission item status</t>
  </si>
  <si>
    <t>updated progress, reanalysis_flag</t>
  </si>
  <si>
    <t>mission_log 업데이트</t>
  </si>
  <si>
    <t>체크리스트 저장</t>
  </si>
  <si>
    <t>REPORT_01</t>
  </si>
  <si>
    <t>/reports/{analysis_id}</t>
  </si>
  <si>
    <t>report_json, compare link</t>
  </si>
  <si>
    <t>report_snapshot 반환</t>
  </si>
  <si>
    <t>JSON 기반</t>
  </si>
  <si>
    <t>DELETE</t>
  </si>
  <si>
    <t>/datasets/{id}</t>
  </si>
  <si>
    <t>dataset_id, delete_scope</t>
  </si>
  <si>
    <t>delete_result</t>
  </si>
  <si>
    <t>raw/norm/nlp/score/report 삭제</t>
  </si>
  <si>
    <t>Supabase Storage/DB</t>
  </si>
  <si>
    <t>권리 행사</t>
  </si>
  <si>
    <t>AUTH_02</t>
  </si>
  <si>
    <t>/auth/logout</t>
  </si>
  <si>
    <t>success</t>
  </si>
  <si>
    <t>세션 종료</t>
  </si>
  <si>
    <t>로그아웃</t>
  </si>
  <si>
    <t>DASH_00</t>
  </si>
  <si>
    <t>/dashboard/recent</t>
  </si>
  <si>
    <t>recent analyses</t>
  </si>
  <si>
    <t>최근 분석 조회</t>
  </si>
  <si>
    <t>홈 최근 결과</t>
  </si>
  <si>
    <t>TEMPLATE_01</t>
  </si>
  <si>
    <t>/templates</t>
  </si>
  <si>
    <t>platform(optional)</t>
  </si>
  <si>
    <t>templates[]</t>
  </si>
  <si>
    <t>템플릿 목록 반환</t>
  </si>
  <si>
    <t>Supabase Storage/정적파일</t>
  </si>
  <si>
    <t>업로드 가이드</t>
  </si>
  <si>
    <t>CONSENT_02</t>
  </si>
  <si>
    <t>/consent/revoke</t>
  </si>
  <si>
    <t>revoke_reason(optional)</t>
  </si>
  <si>
    <t>future_analysis_blocked</t>
  </si>
  <si>
    <t>동의 철회 저장</t>
  </si>
  <si>
    <t>신규 분석 차단</t>
  </si>
  <si>
    <t>/datasets</t>
  </si>
  <si>
    <t>status(optional)</t>
  </si>
  <si>
    <t>datasets[]</t>
  </si>
  <si>
    <t>dataset 목록 조회</t>
  </si>
  <si>
    <t>설정 화면 목록</t>
  </si>
  <si>
    <t>HISTORY_01</t>
  </si>
  <si>
    <t>/reports/history</t>
  </si>
  <si>
    <t>dataset_id(optional)</t>
  </si>
  <si>
    <t>history[]</t>
  </si>
  <si>
    <t>과거 분석 이력 조회</t>
  </si>
  <si>
    <t>COMPARE_01</t>
  </si>
  <si>
    <t>/compare/{analysis_id}</t>
  </si>
  <si>
    <t>analysis_id, base_analysis_id</t>
  </si>
  <si>
    <t>delta json</t>
  </si>
  <si>
    <t>old/new 결과 비교</t>
  </si>
  <si>
    <t>비교 카드용</t>
  </si>
  <si>
    <t>팀 역할 / WBS 책임</t>
  </si>
  <si>
    <t>수행계획서의 공식 역할을 기준으로 누구가 어떤 모듈과 WBS를 주 책임지는지 연결했다.</t>
  </si>
  <si>
    <t>이름</t>
  </si>
  <si>
    <t>공식 역할</t>
  </si>
  <si>
    <t>핵심 책임 모듈</t>
  </si>
  <si>
    <t>주 책임 WBS</t>
  </si>
  <si>
    <t>주요 산출물</t>
  </si>
  <si>
    <t>협업 포인트</t>
  </si>
  <si>
    <t>데이터 수집 및 전처리</t>
  </si>
  <si>
    <t>업로드 파이프라인, 정규화, YouTube 메타 보강, DB 스키마 1차</t>
  </si>
  <si>
    <t>WBS_01_01, 01_05, 02_01, 03_01</t>
  </si>
  <si>
    <t>raw schema, parser, norm_event, yt meta 연동</t>
  </si>
  <si>
    <t>손석환의 score engine이 사용할 입력 품질 확보</t>
  </si>
  <si>
    <t>LLM분석 및 편향 진단</t>
  </si>
  <si>
    <t>Cloud NL 연동, 6축 수식, 예외코드, 평가셋 기준 조정</t>
  </si>
  <si>
    <t>score formula, threshold config, score_run/axis</t>
  </si>
  <si>
    <t>이세종이 설명·추천 단계에서 사용할 확정 점수 제공</t>
  </si>
  <si>
    <t>디톡스 로직 및 추천 시스템</t>
  </si>
  <si>
    <t>reverse query 정책, 미션 생성 규칙, Gemini prompt/schema, 리포트 구조</t>
  </si>
  <si>
    <t>WBS_01_03, 02_03, 04_03, 05_01</t>
  </si>
  <si>
    <t>detox policy, mission schema, report_json</t>
  </si>
  <si>
    <t>손석환이 확정한 점수를 입력으로만 사용해야 함</t>
  </si>
  <si>
    <t>UI/시각화 및 발표 자료</t>
  </si>
  <si>
    <t>IA, 와이어프레임, 대시보드 구현, 차트, 시연 플로우</t>
  </si>
  <si>
    <t>WBS_01_04, 02_04, 03_03, 05_02</t>
  </si>
  <si>
    <t>UI screens, Plotly charts, demo storyline</t>
  </si>
  <si>
    <t>백엔드 응답 구조가 화면에 그대로 매핑되도록 API 설계 협업</t>
  </si>
  <si>
    <t>WBS / 역할 분담 / 현재 상태 기준(2026-03-30 22:39)</t>
  </si>
  <si>
    <t>기준일</t>
  </si>
  <si>
    <t>완료</t>
  </si>
  <si>
    <t>진행중</t>
  </si>
  <si>
    <t>예정</t>
  </si>
  <si>
    <t>보류</t>
  </si>
  <si>
    <t>Phase</t>
  </si>
  <si>
    <t>Task ID</t>
  </si>
  <si>
    <t>업무</t>
  </si>
  <si>
    <t>세부 산출물</t>
  </si>
  <si>
    <t>담당</t>
  </si>
  <si>
    <t>협업</t>
  </si>
  <si>
    <t>시작일</t>
  </si>
  <si>
    <t>종료일</t>
  </si>
  <si>
    <t>상태</t>
  </si>
  <si>
    <t>0. 기획/환경</t>
  </si>
  <si>
    <t>WBS_00_01</t>
  </si>
  <si>
    <t>프로젝트 문제정의 및 주제 확정</t>
  </si>
  <si>
    <t>문제정의 1p, 핵심 가치 제안</t>
  </si>
  <si>
    <t>주제와 목표가 팀 합의로 확정</t>
  </si>
  <si>
    <t>수행계획서 반영</t>
  </si>
  <si>
    <t>WBS_00_02</t>
  </si>
  <si>
    <t>수행계획서 정리 및 역할 1차 합의</t>
  </si>
  <si>
    <t>팀 역할표, 제출용 초안</t>
  </si>
  <si>
    <t>역할 분담이 문서로 남아 있음</t>
  </si>
  <si>
    <t>보고용 초안 정리</t>
  </si>
  <si>
    <t>WBS_00_03</t>
  </si>
  <si>
    <t>기능정의서 초안 작성</t>
  </si>
  <si>
    <t>기능ID, 대/중/소분류, 우선순위</t>
  </si>
  <si>
    <t>핵심 기능이 빠짐없이 req_id로 정리</t>
  </si>
  <si>
    <t>현재 진행 중</t>
  </si>
  <si>
    <t>WBS_00_04</t>
  </si>
  <si>
    <t>Notion/GitHub/회의 규칙 세팅</t>
  </si>
  <si>
    <t>홈 대시보드, 보드, 회의 템플릿</t>
  </si>
  <si>
    <t>Notion 페이지/깃 저장소/회의 규칙 생성</t>
  </si>
  <si>
    <t>운영 기반</t>
  </si>
  <si>
    <t>1. 요구사항/설계</t>
  </si>
  <si>
    <t>플랫폼별 샘플 파일, 컬럼 목록</t>
  </si>
  <si>
    <t>샘플 파일 3종 이상 확보</t>
  </si>
  <si>
    <t>YouTube/SNS 우선</t>
  </si>
  <si>
    <t>지표 정의서, 계산 기준표</t>
  </si>
  <si>
    <t>6축 정의와 산식이 문서화</t>
  </si>
  <si>
    <t>분석 기준 확정</t>
  </si>
  <si>
    <t>추천 원칙, 금칙 규칙, 미션 종류</t>
  </si>
  <si>
    <t>추천 정책 초안 합의</t>
  </si>
  <si>
    <t>디톡스 핵심</t>
  </si>
  <si>
    <t>화면 구조도, 와이어프레임</t>
  </si>
  <si>
    <t>핵심 화면 3종 이상 설계</t>
  </si>
  <si>
    <t>로그인/업로드/결과</t>
  </si>
  <si>
    <t>ERD 초안, API 목록</t>
  </si>
  <si>
    <t>장준영·손석환</t>
  </si>
  <si>
    <t>데이터/분석 흐름이 스키마로 정리</t>
  </si>
  <si>
    <t>통합 기준</t>
  </si>
  <si>
    <t>2. 구현 1차</t>
  </si>
  <si>
    <t>업로드 API, 정규화 스크립트</t>
  </si>
  <si>
    <t>샘플 업로드부터 정규화까지 자동 처리</t>
  </si>
  <si>
    <t>데이터 파이프라인</t>
  </si>
  <si>
    <t>벡터화, 조종 지수, 6축 산출</t>
  </si>
  <si>
    <t>샘플 데이터 기준 점수 산출 가능</t>
  </si>
  <si>
    <t>PoC 단계</t>
  </si>
  <si>
    <t>Reverse Query 생성 로직</t>
  </si>
  <si>
    <t>추천 결과와 설명 문구 생성 가능</t>
  </si>
  <si>
    <t>추천 1차</t>
  </si>
  <si>
    <t>요약/MBTI/그래프 화면</t>
  </si>
  <si>
    <t>핵심 결과 화면 연동 가능</t>
  </si>
  <si>
    <t>UI 1차</t>
  </si>
  <si>
    <t>3. 통합/MVP</t>
  </si>
  <si>
    <t>로그인→업로드→분석→결과 흐름</t>
  </si>
  <si>
    <t>핵심 end-to-end 시연 가능</t>
  </si>
  <si>
    <t>MVP 기준</t>
  </si>
  <si>
    <t>테스트 기록, 버그 수정 내역</t>
  </si>
  <si>
    <t>중대한 blocker 없이 시연 가능</t>
  </si>
  <si>
    <t>안정화</t>
  </si>
  <si>
    <t>데모 흐름, 발표자료 v1</t>
  </si>
  <si>
    <t>5분 이상 시연 가능한 스토리 확보</t>
  </si>
  <si>
    <t>대외 발표 준비</t>
  </si>
  <si>
    <t>4. 고도화</t>
  </si>
  <si>
    <t>샘플 확장, 기준값 보정</t>
  </si>
  <si>
    <t>분석 결과 일관성 개선</t>
  </si>
  <si>
    <t>품질 고도화</t>
  </si>
  <si>
    <t>UI 개선안, 리포트 템플릿</t>
  </si>
  <si>
    <t>사용자 이해도 높은 결과화면 완성</t>
  </si>
  <si>
    <t>사용성 개선</t>
  </si>
  <si>
    <t>중간 산출물, README, 문서 폴더</t>
  </si>
  <si>
    <t>문서/코드/시연 산출물이 연결됨</t>
  </si>
  <si>
    <t>대외 제출 대비</t>
  </si>
  <si>
    <t>5. 후반기</t>
  </si>
  <si>
    <t>고도화 실험, 품질 비교표</t>
  </si>
  <si>
    <t>기준 샘플 대비 개선 수치 확보</t>
  </si>
  <si>
    <t>방학 고도화</t>
  </si>
  <si>
    <t>그래프 최적화, UX polish</t>
  </si>
  <si>
    <t>데모 완성도 향상</t>
  </si>
  <si>
    <t>후반기 준비</t>
  </si>
  <si>
    <t>테스트체크리스트, 사용자 가이드</t>
  </si>
  <si>
    <t>최종 발표 전 결함 정리 완료</t>
  </si>
  <si>
    <t>마감 전 안정화</t>
  </si>
  <si>
    <t>발표자료 최종본, 시연 영상/문서</t>
  </si>
  <si>
    <t>최종 발표와 제출 마감 완료</t>
  </si>
  <si>
    <t>종료 단계</t>
  </si>
  <si>
    <t>Notion / GitHub 운영안 (첫 프로젝트용 실전 운영 구조)</t>
  </si>
  <si>
    <t>항목</t>
  </si>
  <si>
    <t>권장 내용</t>
  </si>
  <si>
    <t>운영 규칙/담당</t>
  </si>
  <si>
    <t>페이지 구조</t>
  </si>
  <si>
    <t>00_홈 대시보드</t>
  </si>
  <si>
    <t>프로젝트 목표, 오늘 할 일, 이번주 마감, 주요 링크를 한 화면에 배치</t>
  </si>
  <si>
    <t>조장(이세종)이 주간 마감과 우선순위를 업데이트</t>
  </si>
  <si>
    <t>01_기능정의 DB</t>
  </si>
  <si>
    <t>기능ID, 대/중/소분류, 설명, 우선순위, 상태, 담당, FE/BE/Data, 관련 API, 관련 화면, 테스트ID 속성으로 관리</t>
  </si>
  <si>
    <t>기능이 추가되면 반드시 req_id부터 발급</t>
  </si>
  <si>
    <t>02_스프린트 보드</t>
  </si>
  <si>
    <t>TaskID, Sprint, Owner, Due, Status, Blocker, GitHub PR, 증빙 링크를 칸반 형태로 관리</t>
  </si>
  <si>
    <t>진행중 Task는 최대 1~2개만 허용해 병목 최소화</t>
  </si>
  <si>
    <t>03_회의록</t>
  </si>
  <si>
    <t>회의일, 참석자, 결정사항, 액션아이템, 담당, 마감일 속성으로 기록</t>
  </si>
  <si>
    <t>회의 후 24시간 이내 기록 완료</t>
  </si>
  <si>
    <t>04_이슈/리스크</t>
  </si>
  <si>
    <t>리스크 내용, 영향도, 대응전략, 담당자, 목표해결일 관리</t>
  </si>
  <si>
    <t>막히는 이슈는 숨기지 말고 즉시 등록</t>
  </si>
  <si>
    <t>05_실험/평가지표</t>
  </si>
  <si>
    <t>가설, 데이터셋, 지표, 결과, 배운점, 다음실험을 기록</t>
  </si>
  <si>
    <t>손석환/장준영 중심으로 분석 실험 로그 유지</t>
  </si>
  <si>
    <t>06_자료실/발표</t>
  </si>
  <si>
    <t>발표자료, 이미지, 참고논문, 링크, 시연영상 정리</t>
  </si>
  <si>
    <t>최현규가 발표자료 버전 관리, 전원 자료 업로드</t>
  </si>
  <si>
    <t>DB 속성</t>
  </si>
  <si>
    <t>기능정의 DB 상태값</t>
  </si>
  <si>
    <t>예정 / 진행중 / 검토중 / 완료 / 보류</t>
  </si>
  <si>
    <t>기능 완료는 코드+문서+테스트 조건 충족 시에만 변경</t>
  </si>
  <si>
    <t>스프린트 보드 우선순위</t>
  </si>
  <si>
    <t>P1(핵심), P2(중요), P3(개선)</t>
  </si>
  <si>
    <t>MVP에 직접 연결되는 기능은 P1 유지</t>
  </si>
  <si>
    <t>공통 필수 링크</t>
  </si>
  <si>
    <t>관련 GitHub 이슈/PR, 화면 캡처, 테스트 증빙, 회의록 링크</t>
  </si>
  <si>
    <t>작업 증빙 없으면 완료 처리하지 않기</t>
  </si>
  <si>
    <t>주간 운영</t>
  </si>
  <si>
    <t>월요일 30분</t>
  </si>
  <si>
    <t>주간 목표 설정, 역할 재배분, blocker 확인</t>
  </si>
  <si>
    <t>이번주 Done 기준을 먼저 합의</t>
  </si>
  <si>
    <t>수요일 15분</t>
  </si>
  <si>
    <t>중간 점검, 막힌 부분 공유, 우선순위 재조정</t>
  </si>
  <si>
    <t>이슈는 해결보다 공유가 먼저</t>
  </si>
  <si>
    <t>금요일 30분</t>
  </si>
  <si>
    <t>작업 데모, 회고, 다음주 준비</t>
  </si>
  <si>
    <t>한 명씩 실제 결과물을 보여주는 방식 권장</t>
  </si>
  <si>
    <t>GitHub 연동</t>
  </si>
  <si>
    <t>브랜치 규칙</t>
  </si>
  <si>
    <t>main / develop / feature-기능ID 형태 권장</t>
  </si>
  <si>
    <t>PR 제목에 기능ID 또는 TaskID 포함</t>
  </si>
  <si>
    <t>커밋 규칙</t>
  </si>
  <si>
    <t>[req_id] 작업 내용 형태 권장</t>
  </si>
  <si>
    <t>예: [req_02_03_01] 조종 지수 계산식 수정</t>
  </si>
  <si>
    <t>Ground Rule</t>
  </si>
  <si>
    <t>기록 습관화</t>
  </si>
  <si>
    <t>기술 의사결정, 에러 원인, 해결법은 모두 Notion에 남김</t>
  </si>
  <si>
    <t>수행계획서의 기록 원칙을 실무 방식으로 구체화</t>
  </si>
  <si>
    <t>리뷰 문화</t>
  </si>
  <si>
    <t>모든 코드 변경은 최소 1인 리뷰 후 병합</t>
  </si>
  <si>
    <t>조장 포함 전원 리뷰 순번 순환</t>
  </si>
  <si>
    <t>Done 정의</t>
  </si>
  <si>
    <t>작동 + 문서 반영 + 테스트 근거 + 화면 확인</t>
  </si>
  <si>
    <t>“거의 됨”은 완료가 아니라 진행중으로 둠</t>
  </si>
  <si>
    <t>추천 운영 방식: 기능정의서 ↔ 스프린트 보드 ↔ GitHub PR ↔ 테스트 증빙이 서로 링크로 연결되도록 구성하면 첫 프로젝트에서도 “누가/무엇을/언제까지”가 한눈에 보임.</t>
  </si>
  <si>
    <t>최종 권고안</t>
  </si>
  <si>
    <t>한 장으로 읽어도 전체 설계 방향이 이해되도록 Cloud NL, Gemini, 무료 범위, 유료 전환 시점, DBMS 선택 이유를 문단 수준으로 정리했다.</t>
  </si>
  <si>
    <t>권고 내용</t>
  </si>
  <si>
    <t>Cloud Natural Language API 권고</t>
  </si>
  <si>
    <t>우리 프로젝트에서 Cloud Natural Language API는 '점수 입력값을 만드는 정량 분석 API'로 쓰는 것이 가장 적절하다. sentiment, entity, entity sentiment, content classification, moderation 결과를 받아 DB에 저장하고, 이후 6축 점수는 Python scoring engine이 자체 수식으로 계산해야 한다. 즉 Cloud NL은 판단 입력을 제공하고, 최종 점수 판정은 우리 수식이 수행한다.</t>
  </si>
  <si>
    <t>Gemini 2.5 Flash 권고</t>
  </si>
  <si>
    <t>Gemini 2.5 Flash는 '점수 계산 이후'의 설명·추천 생성 단계에만 쓰는 것이 맞다. Reverse Query 후보, 3일/7일 미션, 축별 설명문, 결과 리포트 JSON을 만드는 역할로 한정하고, response_json_schema를 사용해 프론트엔드가 바로 읽을 수 있는 구조화 응답을 강제하는 설계를 권고한다. 점수 자체를 Gemini가 생성하거나 보정하게 두면 역할 분리가 무너지므로 금지한다.</t>
  </si>
  <si>
    <t>무료 단계에서 가능한 범위</t>
  </si>
  <si>
    <t>업로드 기반 유튜브/SNS 텍스트 분석, Cloud NL을 이용한 6축 계산, Gemini 2.5 Flash를 이용한 reverse query·미션·리포트 생성, Supabase Free를 이용한 DB/Storage/Auth 구성까지는 무료 단계로도 MVP 완수가 가능하다. 다만 사용자 수가 적고, 재분석 횟수가 많지 않으며, 시연 규모가 제한된다는 전제가 필요하다.</t>
  </si>
  <si>
    <t>유료 확장 시점</t>
  </si>
  <si>
    <t>유료 전환은 처음부터 필수가 아니라, 1) Gemini free tier rate limit에 걸릴 때, 2) Cloud NL 무료 문자량을 지속적으로 넘을 때, 3) Supabase Free의 DB size·egress 한계를 넘을 때, 4) 배치 리포트 재생성이 많아질 때 시작하는 것이 현실적이다. 이때도 같은 계열을 유지해 Gemini 2.5 Flash billed tier와 필요 시 Flash-Lite batch, Supabase Pro로 확장하는 것이 구조 변경 비용이 가장 작다.</t>
  </si>
  <si>
    <t>DBMS 권고</t>
  </si>
  <si>
    <t>최종 채택 DBMS는 Supabase(PostgreSQL)이다. 이유는 관계형 점수 계산에 필요한 Postgres, 업로드 파일 저장용 Storage, 사용자 인증용 Auth, 접근 제어용 RLS를 한 플랫폼에서 처리할 수 있기 때문이다. MongoDB/Firestore보다 시간축 집계·버전관리·다중 테이블 조인이 쉬워 편향 분석 시스템에 더 맞는다.</t>
  </si>
  <si>
    <t>최종 구조 한 줄 결론</t>
  </si>
  <si>
    <t>최종 제출 구조는 '업로드 기반 텍스트 수집 → 정규화/세션화 → YouTube 메타 보강 → Cloud NL 정량 분석 → 자체 수식 6축 점수 계산 → Gemini 2.5 Flash 설명·추천 생성 → 대시보드/리포트 노출' 순서로 고정하는 것을 권고한다.</t>
  </si>
  <si>
    <t>참고 출처</t>
  </si>
  <si>
    <t>외부 자료는 공식 문서 URL만 기록했다. 가격·지원 언어·quota·structured output 근거를 확인할 수 있다.</t>
  </si>
  <si>
    <t>분류</t>
  </si>
  <si>
    <t>출처명</t>
  </si>
  <si>
    <t>URL</t>
  </si>
  <si>
    <t>핵심 사용 내용</t>
  </si>
  <si>
    <t>프로젝트 내부</t>
  </si>
  <si>
    <t>수행계획서(사용자 제공)</t>
  </si>
  <si>
    <t>internal:user-provided-plan</t>
  </si>
  <si>
    <t>팀 역할, 프로젝트명, 핵심 기능 방향, 협업 방식 반영</t>
  </si>
  <si>
    <t>내부 자료</t>
  </si>
  <si>
    <t>Cloud NL</t>
  </si>
  <si>
    <t>Cloud Natural Language pricing</t>
  </si>
  <si>
    <t>feature별 무료 한도와 pay-as-you-go 가격</t>
  </si>
  <si>
    <t>공식</t>
  </si>
  <si>
    <t>Language Support</t>
  </si>
  <si>
    <t>https://docs.cloud.google.com/natural-language/docs/languages</t>
  </si>
  <si>
    <t>한국어 지원 범위, entity sentiment 지원 언어 확인</t>
  </si>
  <si>
    <t>documents.annotateText</t>
  </si>
  <si>
    <t>sentiment/entity/classification/moderation 동시 요청 feature 확인</t>
  </si>
  <si>
    <t>Classifying Content</t>
  </si>
  <si>
    <t>https://docs.cloud.google.com/natural-language/docs/classifying-text</t>
  </si>
  <si>
    <t>classifyText 20토큰 제약 확인</t>
  </si>
  <si>
    <t>ClassificationModelOptions</t>
  </si>
  <si>
    <t>https://docs.cloud.google.com/natural-language/docs/reference/rest/v1/ClassificationModelOptions</t>
  </si>
  <si>
    <t>V2 classification model 사용 근거</t>
  </si>
  <si>
    <t>Moderate text</t>
  </si>
  <si>
    <t>https://docs.cloud.google.com/natural-language/docs/moderating-text</t>
  </si>
  <si>
    <t>moderation category 의미 확인</t>
  </si>
  <si>
    <t>Gemini Developer API pricing</t>
  </si>
  <si>
    <t>Gemini 2.5 Flash/Flash-Lite 가격과 free tier</t>
  </si>
  <si>
    <t>Gemini Billing</t>
  </si>
  <si>
    <t>https://ai.google.dev/gemini-api/docs/billing</t>
  </si>
  <si>
    <t>free→paid 전환과 spend cap 정보</t>
  </si>
  <si>
    <t>Gemini Rate Limits</t>
  </si>
  <si>
    <t>https://ai.google.dev/gemini-api/docs/rate-limits</t>
  </si>
  <si>
    <t>free tier / paid tier rate limit 참고</t>
  </si>
  <si>
    <t>Structured outputs</t>
  </si>
  <si>
    <t>response_json_schema 활용 근거</t>
  </si>
  <si>
    <t>YouTube</t>
  </si>
  <si>
    <t>Quota Calculator</t>
  </si>
  <si>
    <t>기본 10,000 units/day와 quota 구조</t>
  </si>
  <si>
    <t>videos.list</t>
  </si>
  <si>
    <t>videos.list quota 1 unit 확인</t>
  </si>
  <si>
    <t>channels.list</t>
  </si>
  <si>
    <t>channels.list quota 1 unit 확인</t>
  </si>
  <si>
    <t>Supabase</t>
  </si>
  <si>
    <t>Supabase homepage</t>
  </si>
  <si>
    <t>Postgres/Auth/Storage/Realtime/Vector 제공</t>
  </si>
  <si>
    <t>Billing on Supabase</t>
  </si>
  <si>
    <t>https://supabase.com/docs/guides/platform/billing-on-supabase</t>
  </si>
  <si>
    <t>Free/Pro의 DB size, MAU, egress 기준</t>
  </si>
  <si>
    <t>Supabase pricing</t>
  </si>
  <si>
    <t>Free/Pro의 MAU, DB, storage, egress 기준</t>
  </si>
  <si>
    <t>Row Level Security</t>
  </si>
  <si>
    <t>RLS 정책 설계 근거</t>
  </si>
  <si>
    <t>pgvector extension</t>
  </si>
  <si>
    <t>선택형 벡터 고도화 근거</t>
  </si>
  <si>
    <t>Storage</t>
  </si>
  <si>
    <t>원천 파일 저장 구조 근거</t>
  </si>
  <si>
    <t>Auth</t>
  </si>
  <si>
    <t>https://supabase.com/docs/guides/auth</t>
  </si>
  <si>
    <t>로그인/세션 관리 근거</t>
  </si>
  <si>
    <t>FastAPI</t>
  </si>
  <si>
    <t>FastAPI docs</t>
  </si>
  <si>
    <t>내부 REST API/validation/OpenAPI 문서화 근거</t>
  </si>
  <si>
    <t>Next.js</t>
  </si>
  <si>
    <t>Next.js docs</t>
  </si>
  <si>
    <t>프론트엔드 구현 구조 근거</t>
  </si>
  <si>
    <t>Plotly</t>
  </si>
  <si>
    <t>Plotly JavaScript docs</t>
  </si>
  <si>
    <t>시각화 구현 근거</t>
  </si>
  <si>
    <t>scikit-learn</t>
  </si>
  <si>
    <t>cosine_similarity</t>
  </si>
  <si>
    <t>조종지수 보조 계산과 벡터 유사도 근거</t>
  </si>
  <si>
    <t>요구사항 세부 구현 매핑</t>
  </si>
  <si>
    <t>요구사항 정의서의 req_id를 기준으로 어떤 프로그램/프레임워크/API를 써서 어떤 방식으로 구현하는지, 어떤 테이블에 저장하는지, 무엇을 완료 기준으로 볼지까지 연결했다.</t>
  </si>
  <si>
    <t>기능명(요구사항)</t>
  </si>
  <si>
    <t>세부 기능명</t>
  </si>
  <si>
    <t>구현 영역</t>
  </si>
  <si>
    <t>구현 프로그램/프레임워크</t>
  </si>
  <si>
    <t>사용 외부 API/모델</t>
  </si>
  <si>
    <t>구현 방식(정확한 처리 로직)</t>
  </si>
  <si>
    <t>저장 데이터/테이블</t>
  </si>
  <si>
    <t>관련 내부 API</t>
  </si>
  <si>
    <t>완료/테스트 기준</t>
  </si>
  <si>
    <t>관련 화면/비고</t>
  </si>
  <si>
    <t>로그인/세션관리</t>
  </si>
  <si>
    <t>FE+BE+DB</t>
  </si>
  <si>
    <t>Next.js + TypeScript, Supabase Auth, supabase-js</t>
  </si>
  <si>
    <t>로그인 폼 제출 시 프론트엔드는 이메일/비밀번호를 전달하고, 인증 성공 후 access token을 브라우저 세션에 저장한다. 서버 조회 API는 auth.uid() 기준 RLS를 통과한 행만 반환하며, 세션 만료 시 401을 반환하고 로그인 화면으로 되돌린다.</t>
  </si>
  <si>
    <t>profiles, auth.users</t>
  </si>
  <si>
    <t>AUTH_01, AUTH_02, DASH_00</t>
  </si>
  <si>
    <t>무료(Supabase Free)</t>
  </si>
  <si>
    <t>로그인 성공 후 /dashboard/recent 응답이 정상 조회되고, 다른 user_id 데이터가 보이지 않으며, 세션 만료 시 재로그인 흐름이 동작해야 한다.</t>
  </si>
  <si>
    <t>개인정보·분석동의</t>
  </si>
  <si>
    <t>Next.js form, FastAPI, Supabase Postgres</t>
  </si>
  <si>
    <t>동의 화면에서 consent_version과 agreed_yn 값을 받아 consent_log에 저장한다. 최신 동의 버전이 없거나 agreed_yn=false인 상태에서는 /analyses 요청을 서버에서 차단하고, 동의 철회 시 이후 신규 분석만 막고 기존 결과는 삭제 요청 전까지 유지한다.</t>
  </si>
  <si>
    <t>CONSENT_01, CONSENT_02, ANALYSIS_01</t>
  </si>
  <si>
    <t>미동의 상태에서 분석 시작이 차단되고, 동의 후에는 consent_log에 버전·시각이 저장되며, 철회 후 신규 분석 버튼이 비활성화되어야 한다.</t>
  </si>
  <si>
    <t>UI02, UI10</t>
  </si>
  <si>
    <t>YouTube 시청기록 업로드</t>
  </si>
  <si>
    <t>FE+BE+DATA</t>
  </si>
  <si>
    <t>Next.js Upload, FastAPI UploadFile, pandas, json/csv/zipfile</t>
  </si>
  <si>
    <t>없음(업로드 기반)</t>
  </si>
  <si>
    <t>사용자가 Google Takeout 또는 시스템 지정 포맷 파일을 업로드하면 서버가 파일 해시를 계산하고 raw_file에 메타를 저장한다. 이후 parser가 title/url/video_id/channel_name/event_time/action_type=view를 추출해 raw_event에 적재하고, 실패 행은 reject reason을 남긴다.</t>
  </si>
  <si>
    <t>샘플 watch 파일에서 dataset_id가 발급되고 raw_event가 생성되며, 필수 필드 누락 시 어느 컬럼이 문제인지 반환해야 한다.</t>
  </si>
  <si>
    <t>YouTube 검색기록 업로드</t>
  </si>
  <si>
    <t>Next.js Upload, FastAPI UploadFile, pandas</t>
  </si>
  <si>
    <t>search 파일은 watch 파일과 별도 dataset 구성요소로 저장한다. parser는 query_text, event_time, action_type=search를 추출하고, 이후 normalization 단계에서 source_surface=search, action_type=search로 통일해 UAS 계산 입력으로 사용한다.</t>
  </si>
  <si>
    <t>raw_file, raw_event(search)</t>
  </si>
  <si>
    <t>검색기록 업로드 후 search event 수가 집계 가능해야 하고, 없는 경우 P04_NO_SEARCH partial 예외로 처리되어야 한다.</t>
  </si>
  <si>
    <t>SNS 텍스트 CSV 업로드</t>
  </si>
  <si>
    <t>Next.js Upload, FastAPI, pandas.read_csv/read_json</t>
  </si>
  <si>
    <t>없음(MVP는 direct SNS official API 제외)</t>
  </si>
  <si>
    <t>generic CSV 템플릿 기준으로 event_time, platform_name, content_text, action_type, source_surface를 읽어 raw_event에 적재한다. 플랫폼별 공식 API 연동 대신 export 업로드만 허용하여 권한·정책 리스크를 줄이고, normalization에서 동일 스키마로 변환한다.</t>
  </si>
  <si>
    <t>TEMPLATE_01, UPLOAD_01, UPLOAD_02</t>
  </si>
  <si>
    <t>템플릿 기준 샘플 CSV 업로드가 성공하고, 필수 컬럼 누락 시 컬럼명/행번호를 반환해야 한다.</t>
  </si>
  <si>
    <t>UI02, UI03</t>
  </si>
  <si>
    <t>업로드 검증 및 오류안내</t>
  </si>
  <si>
    <t>FastAPI, pandas, hashlib, Python validation rules</t>
  </si>
  <si>
    <t>서버는 파일 크기, 확장자, 인코딩, 필수 컬럼, 중복 해시, 비어 있는 행 비율을 검사한다. validation_result에는 fatal_error와 warning을 분리해 담고, 프론트는 문제 컬럼과 수정 기준을 표 형태로 보여준다.</t>
  </si>
  <si>
    <t>raw_file, audit_log</t>
  </si>
  <si>
    <t>중복 파일, 인코딩 오류, 필수 컬럼 누락이 각각 다른 error_code로 반환되고, 정상 파일은 validation passed가 표시되어야 한다.</t>
  </si>
  <si>
    <t>분석 진행상태 조회</t>
  </si>
  <si>
    <t>FE+BE</t>
  </si>
  <si>
    <t>Next.js polling, FastAPI, Supabase Postgres</t>
  </si>
  <si>
    <t>analysis_job/status 테이블을 기준으로 parse → normalize → yt_meta → cloud_nl → scoring → detox/report 단계를 상태값으로 저장한다. 프론트는 일정 간격으로 /analyses/{id}를 polling하고, 실패 단계가 있으면 retry 가능 여부와 예외코드를 함께 노출한다.</t>
  </si>
  <si>
    <t>analysis_job, audit_log, score_run</t>
  </si>
  <si>
    <t>ANALYSIS_01, ANALYSIS_02</t>
  </si>
  <si>
    <t>분석 시작 후 단계별 상태가 순차적으로 갱신되고, 실패 시 어느 단계에서 실패했는지와 예외코드가 표시되어야 한다.</t>
  </si>
  <si>
    <t>대시보드 요약 조회</t>
  </si>
  <si>
    <t>FE+BE+AI</t>
  </si>
  <si>
    <t>Next.js, Plotly.js, FastAPI</t>
  </si>
  <si>
    <t>없음(점수는 자체 수식 결과)</t>
  </si>
  <si>
    <t>대시보드 API는 score_run, score_axis, report_snapshot을 조합해 risk_score, grade, axis summary, 예외 badge, 조종지수 보조값을 반환한다. 화면은 신호등 카드·레이더차트·핵심 경고 문구를 표시하지만, 점수 값 자체는 Gemini가 아니라 score_run 저장값만 사용한다.</t>
  </si>
  <si>
    <t>score_run, score_axis, report_snapshot</t>
  </si>
  <si>
    <t>점수/등급/예외/요약문이 서로 모순 없이 한 화면에 표시되고, DB score 값과 화면 값이 동일해야 한다.</t>
  </si>
  <si>
    <t>리포트 및 이력 조회</t>
  </si>
  <si>
    <t>Next.js, FastAPI</t>
  </si>
  <si>
    <t>Gemini 2.5 Flash(리포트 JSON 생성 결과 조회)</t>
  </si>
  <si>
    <t>현재 analysis_id의 report_snapshot JSON과 과거 분석 이력 목록을 함께 보여준다. 사용자가 과거 결과를 선택하면 compare API를 추가 호출해 delta card를 구성하고, 동일 score version인지 여부도 함께 표시한다.</t>
  </si>
  <si>
    <t>report_snapshot, compare_snapshot, score_run</t>
  </si>
  <si>
    <t>REPORT_01, HISTORY_01, COMPARE_01</t>
  </si>
  <si>
    <t>기본 조회는 무료, Gemini 재생성은 호출 시 free/paid 영향</t>
  </si>
  <si>
    <t>현재 리포트, 과거 이력, 이전 결과와의 차이가 모두 조회 가능해야 하며, 과거 분석이 없으면 빈 상태 메시지를 보여줘야 한다.</t>
  </si>
  <si>
    <t>원천데이터 파싱</t>
  </si>
  <si>
    <t>BE+DATA</t>
  </si>
  <si>
    <t>FastAPI, pandas, csv/json parser, zipfile, BeautifulSoup(HTML 필요 시)</t>
  </si>
  <si>
    <t>플랫폼별 parser 함수를 분리하고 parser_name/version을 raw_event와 함께 저장한다. HTML/JSON/CSV 구조별로 이벤트 후보를 추출하되, 원문 raw_payload를 JSONB로 남겨 재파싱과 디버깅이 가능하게 한다.</t>
  </si>
  <si>
    <t>raw_event, raw_file</t>
  </si>
  <si>
    <t>같은 입력 파일을 다시 파싱해도 동일 event 수와 key가 재현되어야 하며, 실패 행은 parse_status=reject로 남아야 한다.</t>
  </si>
  <si>
    <t>백엔드 파이프라인</t>
  </si>
  <si>
    <t>공통 이벤트 스키마 정규화</t>
  </si>
  <si>
    <t>BE+DATA+DB</t>
  </si>
  <si>
    <t>FastAPI, pandas, NumPy, Supabase Postgres</t>
  </si>
  <si>
    <t>raw_event를 norm_event로 변환하면서 event_time timezone 통일, action_type/view/search/click 정규화, source_surface(home/search/autoplay/following) 매핑, text_base 생성, dataset_id/user_id 부여를 수행한다.</t>
  </si>
  <si>
    <t>정규화 후 norm_event 필수 컬럼 null 비율이 허용 기준 이하이고, reject row는 별도 reason_code로 추적 가능해야 한다.</t>
  </si>
  <si>
    <t>세션 텍스트 생성</t>
  </si>
  <si>
    <t>BE+AI 입력</t>
  </si>
  <si>
    <t>Python sessionizer, pandas groupby</t>
  </si>
  <si>
    <t>30분 이내 연속 소비를 한 세션으로 묶고, 검색어 변경 또는 장시간 공백 발생 시 새 세션을 만든다. session_text는 title/description/tags/query_text를 합쳐 생성하며, 20토큰 미만이면 최대 5개 item을 더 묶어 classification 최소 길이를 맞춘다.</t>
  </si>
  <si>
    <t>UPLOAD_02, ANALYSIS_01</t>
  </si>
  <si>
    <t>classification 대상 세션에는 token_count와 생성 규칙이 저장되고, 너무 짧은 세션은 fallback 분류 규칙으로 분기되어야 한다.</t>
  </si>
  <si>
    <t>YouTube videos.list 조회</t>
  </si>
  <si>
    <t>BE+External API</t>
  </si>
  <si>
    <t>FastAPI, httpx 또는 Google API client</t>
  </si>
  <si>
    <t>video_id가 있는 항목에 대해 title, description, tags, categoryId, defaultLanguage, topicDetails를 조회해 item_text를 보강한다. 기본 경로에서는 search.list를 쓰지 않고 videos.list만 사용해 quota를 최소화한다.</t>
  </si>
  <si>
    <t>분석 내부 orchestration</t>
  </si>
  <si>
    <t>기본 quota 내 무료</t>
  </si>
  <si>
    <t>video_id가 있는 샘플 항목에서 meta 보강 후 item_text 길이가 증가하고, 실패 시 WARN_YT_META_FAIL과 함께 원본 값으로 계속 진행해야 한다.</t>
  </si>
  <si>
    <t>백엔드 내부 호출</t>
  </si>
  <si>
    <t>YouTube channels.list 조회</t>
  </si>
  <si>
    <t>channel_id 기준으로 채널 title/topicDetails/country 등을 조회해 source 라벨과 출처 분석에 사용한다. 호출 실패 시 출처 계산은 기존 raw channel_name으로 fallback한다.</t>
  </si>
  <si>
    <t>channel_id가 있는 항목에서 채널 라벨이 채워지고, 호출 실패가 전체 분석 실패로 번지지 않아야 한다.</t>
  </si>
  <si>
    <t>Cloud Natural Language 분석 호출</t>
  </si>
  <si>
    <t>FastAPI, google-cloud-language SDK 또는 REST client</t>
  </si>
  <si>
    <t>item_text에는 documentSentiment, entities, moderation을 호출하고, session_text에는 classifyText(V2)를 호출한다. 이 단계는 정량 입력 생성 전용이며, 응답 원문·feature_flags·language_code를 nlp_result에 그대로 저장하고 점수 계산은 별도 엔진이 수행한다.</t>
  </si>
  <si>
    <t>무료 구간 후 pay-as-you-go</t>
  </si>
  <si>
    <t>documentSentiment/entities/categories/moderationCategories가 저장되고, 점수 계산 이전 단계에서만 사용되어야 한다.</t>
  </si>
  <si>
    <t>언어/분류 제약 처리</t>
  </si>
  <si>
    <t>FastAPI, Python exception rules</t>
  </si>
  <si>
    <t>Cloud Natural Language API language support rules</t>
  </si>
  <si>
    <t>classifyText는 20토큰 미만이면 실행하지 않고 fallback category를 사용한다. entity sentiment는 en/ja/es가 아닐 때 partial 계산으로 전환하고, 한국어는 sentiment/classification/moderation만 공식 활용하며 예외코드를 함께 저장한다.</t>
  </si>
  <si>
    <t>nlp_result, score_run(exception_codes)</t>
  </si>
  <si>
    <t>무료/유료 무관</t>
  </si>
  <si>
    <t>짧은 텍스트, 미지원 언어, API partial 실패가 각각 다른 예외코드로 저장되고 사용자 메시지와 연결되어야 한다.</t>
  </si>
  <si>
    <t>NLP 원본 결과 저장</t>
  </si>
  <si>
    <t>BE+DB</t>
  </si>
  <si>
    <t>FastAPI, Supabase Postgres(JSONB)</t>
  </si>
  <si>
    <t>Cloud NL 응답을 축약하지 않고 response_json JSONB로 저장하고, 어떤 feature를 요청했는지 feature_flags와 prompt/context version을 함께 남긴다. 이후 score 재계산 시 원문 재호출 없이 DB만으로 재현 가능하도록 한다.</t>
  </si>
  <si>
    <t>없음(분석 내부 저장)</t>
  </si>
  <si>
    <t>동일 dataset에 대해 원본 응답과 feature_flags가 조회 가능하고, 재분석 없이 수식만 바꿔 재계산할 수 있어야 한다.</t>
  </si>
  <si>
    <t>재현성</t>
  </si>
  <si>
    <t>6축 점수 계산</t>
  </si>
  <si>
    <t>BE+AI</t>
  </si>
  <si>
    <t>Python scoring engine, pandas, NumPy, scikit-learn cosine_similarity</t>
  </si>
  <si>
    <t>없음(Cloud NL 결과를 입력으로 사용)</t>
  </si>
  <si>
    <t>TDS/SBS/EBS/VOS/SMS/UAS 6축은 DB 집계값과 nlp_result를 합쳐 결정적 수식으로 계산한다. 추가로 10일 단위 topic vector cosine similarity로 조종지수 보조값(MI)을 계산해 타임라인 설명에 사용하되, Gemini는 어떤 점수도 직접 계산하지 않는다.</t>
  </si>
  <si>
    <t>없음(분석 내부 계산)</t>
  </si>
  <si>
    <t>같은 입력과 같은 threshold config에서 항상 같은 축 점수가 재현되고, score version이 저장되어야 한다.</t>
  </si>
  <si>
    <t>점수=자체 수식</t>
  </si>
  <si>
    <t>5단계 위험도 판정</t>
  </si>
  <si>
    <t>BE</t>
  </si>
  <si>
    <t>Python grading rules</t>
  </si>
  <si>
    <t>weighted_health를 기반으로 bias_risk_score를 계산하고 0~19 녹색, 20~39 연두, 40~59 노랑, 60~79 주황, 80~100 빨강으로 grade를 매핑한다. HOLD 예외가 있으면 grade 색상보다 판정보류 상태를 우선한다.</t>
  </si>
  <si>
    <t>score_run.grade가 규칙표와 동일하게 저장되고, HOLD 상태에서는 색상 대신 보류 배지가 출력되어야 한다.</t>
  </si>
  <si>
    <t>예외코드 및 판정보류</t>
  </si>
  <si>
    <t>Python rule engine</t>
  </si>
  <si>
    <t>데이터 부족, 검색기록 누락, 미지원 언어, API partial 실패를 코드화해 score_run.exception_codes 배열에 저장한다. 프론트는 code별 사용자 메시지를 사전 매핑해 모호한 설명 대신 이유를 명시한다.</t>
  </si>
  <si>
    <t>score_run, audit_log</t>
  </si>
  <si>
    <t>ANALYSIS_02, DASH_01</t>
  </si>
  <si>
    <t>P01/P02/P03/P04/P05 코드가 저장되고 화면에서 같은 코드가 같은 문구로 일관되게 노출되어야 한다.</t>
  </si>
  <si>
    <t>16유형 분류</t>
  </si>
  <si>
    <t>Python rule table</t>
  </si>
  <si>
    <t>6축을 4개 이진 차원(D,S,A,O)으로 축약하고 H/L 조합으로 16유형을 고정 매핑한다. 임의 서술형 판정 대신 threshold table만 사용하며, type_code와 type_name을 모두 저장한다.</t>
  </si>
  <si>
    <t>같은 axis_scores에 대해 항상 같은 type_code가 반환되고, 유형 설명이 유형판정_16 시트와 일치해야 한다.</t>
  </si>
  <si>
    <t>BE+LLM</t>
  </si>
  <si>
    <t>FastAPI, google-genai SDK, Pydantic schema</t>
  </si>
  <si>
    <t>점수 계산이 끝난 뒤 low_axes, dominant_topics, dominant_entities, banned_terms를 프롬프트에 넣어 response_json_schema로 query 후보 8개를 생성한다. 이후 서버가 길이, 중복, dominant topic 동일성, blocked entity 포함 여부를 검사해 3~5개만 채택한다.</t>
  </si>
  <si>
    <t>Gemini free tier, 호출량 증가 시 paid</t>
  </si>
  <si>
    <t>유효한 reverse_queries 3개 이상이 생성되거나 fallback mission이 활성화되어야 하며, 금칙어/중복 query는 저장되면 안 된다.</t>
  </si>
  <si>
    <t>Gemini는 생성만</t>
  </si>
  <si>
    <t>Detox 미션 생성</t>
  </si>
  <si>
    <t>FastAPI, google-genai SDK, 정책표</t>
  </si>
  <si>
    <t>risk_grade와 low_axes 수에 따라 3일 또는 7일 미션 길이를 결정한다. LLM은 title, action_steps, success_condition, blocked_surface 구조를 JSON으로 생성하고, 서버는 실행 가능 여부·중복·편향 강화 여부를 검사해 최종 mission_json을 저장한다.</t>
  </si>
  <si>
    <t>detox_plan, mission_log</t>
  </si>
  <si>
    <t>DETOX_01, DETOX_02</t>
  </si>
  <si>
    <t>Gemini free tier, 대량 시 paid</t>
  </si>
  <si>
    <t>미션 항목이 체크 가능한 문장으로 생성되고, 완료 체크 후 진행률이 계산되어야 한다.</t>
  </si>
  <si>
    <t>정책표 기반</t>
  </si>
  <si>
    <t>설명문/리포트 JSON 생성</t>
  </si>
  <si>
    <t>FastAPI, google-genai SDK, JSON schema</t>
  </si>
  <si>
    <t>score_json과 예외코드, type_code, accepted_queries를 기반으로 axis_comments, summary, caution, report_sections를 JSON schema에 맞춰 생성한다. 리포트는 화면 렌더링용 구조체로 저장하고, 문자열만 자유 생성하는 방식은 금지한다.</t>
  </si>
  <si>
    <t>Gemini free tier, 시연 안정성 필요 시 billed tier</t>
  </si>
  <si>
    <t>report_json이 schema 검증을 통과하고, 화면에서 바로 섹션 렌더링 가능한 구조여야 한다.</t>
  </si>
  <si>
    <t>생성결과 검증/필터</t>
  </si>
  <si>
    <t>Python post-validation rules</t>
  </si>
  <si>
    <t>없음(LLM 결과 후처리)</t>
  </si>
  <si>
    <t>LLM이 만든 query/mission/report 중 금칙어, blocked entity, 중복, 과도한 추상 표현, dominant topic 재강화 문구를 규칙으로 제거한다. 제거 후 최소 개수 미달이면 fallback query 또는 기본 미션 템플릿을 채운다.</t>
  </si>
  <si>
    <t>detox_plan, audit_log</t>
  </si>
  <si>
    <t>DETOX_01, REPORT_01</t>
  </si>
  <si>
    <t>LLM 출력이 schema valid라도 정책 위반이면 저장되지 않아야 하며, fallback이 적용된 경우 이유가 로그에 남아야 한다.</t>
  </si>
  <si>
    <t>raw/norm/nlp/score 저장</t>
  </si>
  <si>
    <t>DB+BE</t>
  </si>
  <si>
    <t>Supabase Postgres, JSONB, FastAPI</t>
  </si>
  <si>
    <t>원천(raw)·정규화(norm)·NLP 결과(nlp_result)·점수(score_run/score_axis)·추천(detox_plan)·리포트(report_snapshot)를 단계별로 분리 저장한다. 덮어쓰기 대신 analysis_id 단위 신규 저장을 원칙으로 해 재현성과 비교를 보장한다.</t>
  </si>
  <si>
    <t>raw_file, raw_event, norm_event, session_text, nlp_result, score_run, score_axis, detox_plan, report_snapshot</t>
  </si>
  <si>
    <t>전 분석 API 공통</t>
  </si>
  <si>
    <t>Supabase Free 가능, 용량 증가 시 Pro</t>
  </si>
  <si>
    <t>한 analysis_id에 필요한 단계별 결과가 모두 조회 가능하고, 중간 실패 시 어느 단계까지 저장되었는지 추적 가능해야 한다.</t>
  </si>
  <si>
    <t>버전 및 스냅샷 저장</t>
  </si>
  <si>
    <t>Supabase Postgres, semantic version field</t>
  </si>
  <si>
    <t>parser_version, score_version, prompt_version, policy_version을 analysis 단위로 저장한다. compare 시 동일 dataset라도 버전이 다르면 어떤 규칙이 바뀌었는지 표시하고, report_snapshot은 분석 시점 기준 JSON을 그대로 보관한다.</t>
  </si>
  <si>
    <t>score_run(version), report_snapshot(prompt_version), detox_plan(policy_version)</t>
  </si>
  <si>
    <t>REPORT_01, COMPARE_01</t>
  </si>
  <si>
    <t>같은 데이터셋을 다른 버전으로 재분석했을 때 old/new 버전 차이가 저장되고 비교 API로 조회 가능해야 한다.</t>
  </si>
  <si>
    <t>사용자 삭제요청 처리</t>
  </si>
  <si>
    <t>FE+BE+DB+Storage</t>
  </si>
  <si>
    <t>Next.js, FastAPI, Supabase Storage/DB</t>
  </si>
  <si>
    <t>사용자가 dataset 삭제를 요청하면 raw_file metadata와 storage object, raw_event/norm_event/session_text/nlp_result/score_run/report_snapshot 등을 dataset_id 기준으로 cascade 삭제한다. 삭제 성공 후 동일 dataset_id 조회는 404로 반환하고 audit_log에 삭제 이력을 남긴다.</t>
  </si>
  <si>
    <t>raw_file, raw_event, norm_event, session_text, nlp_result, score_run, score_axis, detox_plan, report_snapshot, audit_log</t>
  </si>
  <si>
    <t>삭제 후 파일/DB 메타가 모두 제거되고, 재조회 시 접근이 차단되어야 한다.</t>
  </si>
  <si>
    <t>외부 API 호출 로그</t>
  </si>
  <si>
    <t>FastAPI middleware, audit table</t>
  </si>
  <si>
    <t>Cloud NL, Gemini, YouTube Data API</t>
  </si>
  <si>
    <t>외부 API 호출 시작/성공/실패, status_code, latency_ms, payload_size, analysis_id를 audit_log에 저장한다. 민감한 원문 전체를 로그에 남기지 않고 request hash와 feature flag 정도만 저장해 비용·장애를 추적한다.</t>
  </si>
  <si>
    <t>Cloud NL/Gemini/YouTube 호출 건수가 일자별로 집계 가능하고, 실패 건에 대해 재시도 근거를 남겨야 한다.</t>
  </si>
  <si>
    <t>audit log</t>
  </si>
  <si>
    <t>재분석 및 비교 로그</t>
  </si>
  <si>
    <t>FastAPI, SQL compare query</t>
  </si>
  <si>
    <t>기존 analysis_id를 base로 새 analysis를 생성하고, axis delta·grade delta·type delta·mission delta를 compare_snapshot에 저장한다. compare API는 old/new 값을 동시에 반환해 UX와 품질 실험에 활용한다.</t>
  </si>
  <si>
    <t>compare_snapshot, score_run</t>
  </si>
  <si>
    <t>COMPARE_01, ANALYSIS_01</t>
  </si>
  <si>
    <t>이전/현재 축 점수 차이가 숫자로 계산되고, 어떤 버전 변경 때문인지 함께 조회 가능해야 한다.</t>
  </si>
  <si>
    <t>FE</t>
  </si>
  <si>
    <t>Next.js, Tailwind CSS, shadcn/ui, React state</t>
  </si>
  <si>
    <t>단계형 UI로 동의 → 플랫폼 선택 → 파일 업로드 → 검증 결과 → 컬럼 매핑을 진행한다. 파일 검증 결과는 fatal/error/warning으로 색상 구분하고, 사용자가 바로 재업로드하거나 매핑 수정으로 복구할 수 있게 만든다.</t>
  </si>
  <si>
    <t>없음(프론트 상태) / 서버는 dataset 관련 테이블 저장</t>
  </si>
  <si>
    <t>TEMPLATE_01, CONSENT_01, UPLOAD_01, UPLOAD_02</t>
  </si>
  <si>
    <t>초보 사용자도 어떤 파일을 올려야 하는지 이해할 수 있고, 오류 발생 시 다음 행동이 명확해야 한다.</t>
  </si>
  <si>
    <t>6축 레이더와 16유형</t>
  </si>
  <si>
    <t>FE+시각화</t>
  </si>
  <si>
    <t>Next.js, Plotly.js</t>
  </si>
  <si>
    <t>API에서 받은 axis_scores를 레이더차트로 그리고, type_code/type_name을 카드 형태로 표시한다. 각 축 카드에는 계산 근거 요약과 partial/HOLD 예외 badge를 함께 붙여 숫자만 보여주는 문제를 줄인다.</t>
  </si>
  <si>
    <t>없음(조회형)</t>
  </si>
  <si>
    <t>DASH_01, TYPE_01</t>
  </si>
  <si>
    <t>축 점수·유형명·축별 설명이 동시에 보이고, partial 축은 사용자에게 명확히 표시되어야 한다.</t>
  </si>
  <si>
    <t>UI05, UI06</t>
  </si>
  <si>
    <t>Next.js, Plotly.js, NetworkX(서버 집계 선택적)</t>
  </si>
  <si>
    <t>기간별 topic share, source concentration, sentiment distribution, moderation trend를 시계열 차트로 렌더링한다. 지식 그래프는 topic-node와 source-node의 공출현 edge를 서버에서 집계해 전달하고, 프론트는 Plotly 네트워크 시각화로 표현한다.</t>
  </si>
  <si>
    <t>없음(조회형) / 서버 집계는 compare_snapshot 또는 API 응답</t>
  </si>
  <si>
    <t>차트 값이 score_run/score_axis와 모순되지 않고, 기간 필터를 바꿔도 응답 시간이 허용 범위 안이어야 한다.</t>
  </si>
  <si>
    <t>FE+BE+LLM</t>
  </si>
  <si>
    <t>Next.js, Tailwind, FastAPI</t>
  </si>
  <si>
    <t>Gemini 2.5 Flash(생성 결과 조회), 자체 규칙 필터</t>
  </si>
  <si>
    <t>reverse query 카드, 미션 체크리스트, due date, progress bar를 보여준다. 완료 체크 시 /detox/plans/{id}/status를 호출해 mission_log를 갱신하고, 기준 달성 시 재분석 CTA를 활성화한다.</t>
  </si>
  <si>
    <t>mission_log, detox_plan</t>
  </si>
  <si>
    <t>기본 무료, 호출량 증가 시 paid</t>
  </si>
  <si>
    <t>사용자가 query 복사/실행/완료 체크를 할 수 있고, 진행률과 재분석 권장 여부가 즉시 갱신되어야 한다.</t>
  </si>
  <si>
    <t>설정/데이터 삭제</t>
  </si>
  <si>
    <t>사용자별 dataset 목록과 동의 상태를 조회하고, 삭제 요청 또는 동의 철회를 수행한다. 삭제는 확인 모달을 거친 뒤 dataset cascade delete를 호출하고, 철회는 신규 분석 차단 상태만 변경한다.</t>
  </si>
  <si>
    <t>raw_file, consent_log, audit_log</t>
  </si>
  <si>
    <t>DATA_02, DATA_01, CONSENT_02</t>
  </si>
  <si>
    <t>본인 dataset만 목록에 보이고, 삭제 후 목록이 즉시 갱신되며, 동의 철회 후 신규 분석이 막혀야 한다.</t>
  </si>
  <si>
    <t>내부 API 명세 상세</t>
  </si>
  <si>
    <t>화면에서 직접 호출하는 내부 API 기준으로 요청/응답 예시 JSON, DB 처리, 외부 연동, 완료 기준까지 구체화했다. Cloud NL·Gemini·YouTube는 모두 서버 내부 orchestration 단계에서만 호출한다.</t>
  </si>
  <si>
    <t>인증/권한</t>
  </si>
  <si>
    <t>요청 필드</t>
  </si>
  <si>
    <t>요청 JSON/폼 예시</t>
  </si>
  <si>
    <t>응답 JSON 예시</t>
  </si>
  <si>
    <t>DB 처리/테이블</t>
  </si>
  <si>
    <t>서버 처리 상세</t>
  </si>
  <si>
    <t>오류/예외</t>
  </si>
  <si>
    <t>무료/유료 영향</t>
  </si>
  <si>
    <t>익명 가능 테스트 계정 또는 이메일 로그인</t>
  </si>
  <si>
    <t>email, password</t>
  </si>
  <si>
    <t>{
  "email": "demo@ub.local",
  "password": "demo1234"
}</t>
  </si>
  <si>
    <t>{
  "success": true,
  "session": {
    "access_token": "&lt;jwt&gt;",
    "expires_in": 3600
  },
  "user": {
    "id": "usr_001",
    "email": "demo@ub.local",
    "display_name": "Demo"
  }
}</t>
  </si>
  <si>
    <t>profiles 조회/업데이트, auth.users 연동</t>
  </si>
  <si>
    <t>Supabase Auth로 인증 후 세션 토큰을 반환한다. 로그인 성공 시 프론트는 토큰을 저장하고 최근 분석 조회를 이어서 호출한다.</t>
  </si>
  <si>
    <t>AUTH_401_INVALID, AUTH_429_RATE</t>
  </si>
  <si>
    <t>Supabase Free 가능</t>
  </si>
  <si>
    <t>로그인 후 자기 데이터만 조회 가능</t>
  </si>
  <si>
    <t>로그인 사용자</t>
  </si>
  <si>
    <t>{}</t>
  </si>
  <si>
    <t>{
  "success": true
}</t>
  </si>
  <si>
    <t>세션만 종료, DB 변경 없음</t>
  </si>
  <si>
    <t>클라이언트 세션과 서버 측 토큰을 폐기한다.</t>
  </si>
  <si>
    <t>AUTH_401_NOSESSION</t>
  </si>
  <si>
    <t>로그아웃 후 보호 화면 재진입이 차단됨</t>
  </si>
  <si>
    <t>{
  "recent_analyses": [
    {
      "analysis_id": "an_101",
      "dataset_name": "yt_takeout_01",
      "grade": "노랑",
      "created_at": "2026-04-15T10:00:00Z"
    }
  ]
}</t>
  </si>
  <si>
    <t>score_run, raw_file, report_snapshot 조회</t>
  </si>
  <si>
    <t>최근 analysis 목록과 상태를 홈 화면용으로 축약해 반환한다.</t>
  </si>
  <si>
    <t>DASH_404_EMPTY</t>
  </si>
  <si>
    <t>최근 결과가 있으면 카드 목록이 노출됨</t>
  </si>
  <si>
    <t>로그인 여부 무관</t>
  </si>
  <si>
    <t>{
  "platform": "youtube_search"
}</t>
  </si>
  <si>
    <t>{
  "templates": [
    {
      "platform": "youtube_watch",
      "download_url": "https://.../youtube_watch.csv"
    },
    {
      "platform": "youtube_search",
      "download_url": "https://.../youtube_search.csv"
    },
    {
      "platform": "sns_generic",
      "download_url": "https://.../sns_generic.csv"
    }
  ]
}</t>
  </si>
  <si>
    <t>DB 변경 없음 / template public URL 조회</t>
  </si>
  <si>
    <t>업로드용 샘플 템플릿과 가이드 URL을 반환한다.</t>
  </si>
  <si>
    <t>Supabase Storage(public template bucket) 또는 정적 파일</t>
  </si>
  <si>
    <t>TPL_404_NOTFOUND</t>
  </si>
  <si>
    <t>플랫폼별 템플릿 다운로드가 가능함</t>
  </si>
  <si>
    <t>{
  "consent_version": "v1.0.0",
  "agreed_yn": true
}</t>
  </si>
  <si>
    <t>{
  "success": true,
  "consent": {
    "version": "v1.0.0",
    "agreed_at": "2026-04-01T09:00:00Z"
  }
}</t>
  </si>
  <si>
    <t>consent_log INSERT</t>
  </si>
  <si>
    <t>동의 버전과 시각을 저장하고 이후 분석 가능 여부를 갱신한다.</t>
  </si>
  <si>
    <t>CONSENT_400_REQUIRED</t>
  </si>
  <si>
    <t>동의 전에는 다음 단계 이동 불가</t>
  </si>
  <si>
    <t>{
  "revoke_reason": "분석 중단"
}</t>
  </si>
  <si>
    <t>{
  "success": true,
  "future_analysis_blocked": true
}</t>
  </si>
  <si>
    <t>consent_log UPDATE/INSERT, audit_log INSERT</t>
  </si>
  <si>
    <t>동의 철회 상태를 기록하고 이후 /analyses 요청을 차단한다. 기존 데이터는 별도 삭제 요청 전까지 유지한다.</t>
  </si>
  <si>
    <t>CONSENT_404_NOTFOUND</t>
  </si>
  <si>
    <t>철회 후 신규 분석 시작 버튼이 차단됨</t>
  </si>
  <si>
    <t>multipart/form-data: file, platform</t>
  </si>
  <si>
    <t>multipart/form-data
file=&lt;binary&gt;
platform=youtube_watch</t>
  </si>
  <si>
    <t>{
  "dataset_id": "ds_001",
  "file_id": "file_001",
  "validation": {
    "fatal": [],
    "warnings": [
      "WARN_SHORT_TITLE"
    ],
    "row_count": 582
  }
}</t>
  </si>
  <si>
    <t>raw_file INSERT, raw_event INSERT(파싱 성공 시), audit_log INSERT</t>
  </si>
  <si>
    <t>파일 해시 계산, 형식/인코딩/필수 컬럼 검사, 원천 파싱을 수행한다. fatal error가 없으면 dataset_id를 발급한다.</t>
  </si>
  <si>
    <t>업로드 결과와 오류 기준이 즉시 보임</t>
  </si>
  <si>
    <t>/datasets/{dataset_id}/map</t>
  </si>
  <si>
    <t>column_mapping, timezone(optional)</t>
  </si>
  <si>
    <t>{
  "column_mapping": {
    "event_time": "Time",
    "query_text": "SearchTerm"
  },
  "timezone": "Asia/Seoul"
}</t>
  </si>
  <si>
    <t>{
  "success": true,
  "normalized_rows": 560,
  "rejected_rows": 22
}</t>
  </si>
  <si>
    <t>norm_event INSERT, session_text 준비</t>
  </si>
  <si>
    <t>generic CSV 또는 비표준 헤더를 공통 스키마로 매핑하고 정규화를 시작한다.</t>
  </si>
  <si>
    <t>MAP_400_INVALID, MAP_404_DATASET</t>
  </si>
  <si>
    <t>매핑 저장 후 정규화된 행 수가 반환됨</t>
  </si>
  <si>
    <t>{
  "status": "active"
}</t>
  </si>
  <si>
    <t>{
  "datasets": [
    {
      "dataset_id": "ds_001",
      "platforms": [
        "youtube_watch",
        "youtube_search"
      ],
      "created_at": "2026-04-01T08:00:00Z",
      "analysis_count": 2
    }
  ]
}</t>
  </si>
  <si>
    <t>raw_file, score_run 집계 조회</t>
  </si>
  <si>
    <t>사용자 소유 dataset 목록과 상태를 반환한다.</t>
  </si>
  <si>
    <t>DATA_404_EMPTY</t>
  </si>
  <si>
    <t>설정 화면에서 본인 dataset만 조회됨</t>
  </si>
  <si>
    <t>로그인 사용자 + 최신 동의 필요</t>
  </si>
  <si>
    <t>dataset_id, window_days, force_reanalysis(optional)</t>
  </si>
  <si>
    <t>{
  "dataset_id": "ds_001",
  "window_days": 30,
  "force_reanalysis": false
}</t>
  </si>
  <si>
    <t>{
  "analysis_id": "an_101",
  "status": "QUEUED",
  "stages": [
    "parse",
    "normalize",
    "yt_meta",
    "cloud_nl",
    "score",
    "detox",
    "report"
  ]
}</t>
  </si>
  <si>
    <t>analysis_job INSERT, audit_log INSERT</t>
  </si>
  <si>
    <t>비동기 분석 작업을 큐에 등록한다. worker가 yt_meta → Cloud NL → scoring → detox/report 순서로 실행한다.</t>
  </si>
  <si>
    <t>YouTube Data API, Cloud Natural Language API, Gemini 2.5 Flash</t>
  </si>
  <si>
    <t>AN_400_NO_CONSENT, AN_404_DATASET, AN_409_DUPLICATE_RUNNING</t>
  </si>
  <si>
    <t>기본 무료, 외부 API 호출량에 따라 유료 확장</t>
  </si>
  <si>
    <t>analysis_id 발급 후 상태 조회 가능</t>
  </si>
  <si>
    <t>{
  "analysis_id": "an_101"
}</t>
  </si>
  <si>
    <t>{
  "analysis_id": "an_101",
  "status": "RUNNING",
  "current_stage": "cloud_nl",
  "progress_pct": 64,
  "exception_codes": [
    "P03_ENTITY_SENT_LANG"
  ]
}</t>
  </si>
  <si>
    <t>analysis_job, audit_log, score_run 조회</t>
  </si>
  <si>
    <t>현재 단계, 진행률, 예외코드, retry 가능 여부를 반환한다.</t>
  </si>
  <si>
    <t>AN_404_NOTFOUND</t>
  </si>
  <si>
    <t>단계별 상태가 polling으로 갱신됨</t>
  </si>
  <si>
    <t>{
  "analysis_id": "an_101",
  "risk_score": 57.4,
  "grade": "노랑",
  "confidence": "partial",
  "manipulation_index": 63.2,
  "summary": "주제 다양성과 주도성이 낮습니다.",
  "exception_codes": [
    "P04_NO_SEARCH"
  ]
}</t>
  </si>
  <si>
    <t>score_run, score_axis, report_snapshot 조회</t>
  </si>
  <si>
    <t>종합 위험도, 6축 요약, 예외 배지, 조종지수 보조값을 화면용으로 묶어서 반환한다. 점수는 DB 저장값만 사용한다.</t>
  </si>
  <si>
    <t>DASH_404_NOTREADY</t>
  </si>
  <si>
    <t>DB score와 화면 score가 동일</t>
  </si>
  <si>
    <t>{
  "analysis_id": "an_101",
  "type_code": "HHLL",
  "type_name": "잠복 버블형",
  "dimensions": {
    "D": "High",
    "S": "High",
    "A": "Low",
    "O": "Low"
  },
  "axes": [
    {
      "axis": "TDS",
      "score": 48.2
    },
    {
      "axis": "UAS",
      "score": 31.0
    }
  ]
}</t>
  </si>
  <si>
    <t>score_run, score_axis 조회</t>
  </si>
  <si>
    <t>4bit 규칙표를 이용해 16유형과 dimension bit를 반환한다.</t>
  </si>
  <si>
    <t>TYPE_404_NOTREADY</t>
  </si>
  <si>
    <t>유형 카드와 축 카드가 함께 렌더링됨</t>
  </si>
  <si>
    <t>analysis_id, from_date(optional), to_date(optional)</t>
  </si>
  <si>
    <t>{
  "analysis_id": "an_101",
  "from_date": "2026-03-01",
  "to_date": "2026-03-30"
}</t>
  </si>
  <si>
    <t>{
  "analysis_id": "an_101",
  "series": {
    "topic_share": [
      {
        "date": "2026-03-01",
        "dominant_topic": "Politics",
        "share": 0.61
      }
    ],
    "source_hhi": [
      {
        "date": "2026-03-01",
        "value": 0.44
      }
    ],
    "sentiment_hist": [
      {
        "bucket": "-1~-0.5",
        "count": 12
      }
    ]
  }
}</t>
  </si>
  <si>
    <t>norm_event, nlp_result, score_axis 집계 조회</t>
  </si>
  <si>
    <t>기간별 topic/source/sentiment/moderation 시계열과 그래프 데이터를 반환한다.</t>
  </si>
  <si>
    <t>VIS_404_NOTREADY, VIS_422_NO_DATA</t>
  </si>
  <si>
    <t>기간 필터 변경 시 차트가 다시 렌더링됨</t>
  </si>
  <si>
    <t>analysis_id, mission_days(optional)</t>
  </si>
  <si>
    <t>{
  "analysis_id": "an_101",
  "mission_days": 7
}</t>
  </si>
  <si>
    <t>{
  "plan_id": "dp_001",
  "reverse_queries": [
    {
      "query_text": "중립적 해설 국제정치 입문",
      "target_axis": "VOS"
    }
  ],
  "missions": [
    {
      "id": "m1",
      "title": "search-first로 대안 주제 탐색",
      "success_condition": "3개 이상 새 검색"
    }
  ]
}</t>
  </si>
  <si>
    <t>detox_plan INSERT, report_snapshot optional update, audit_log INSERT</t>
  </si>
  <si>
    <t>score_json을 기준으로 Gemini 2.5 Flash에서 reverse query/mission JSON을 생성한 뒤 서버 규칙으로 필터링해 저장한다.</t>
  </si>
  <si>
    <t>DTX_400_NOT_READY, DTX_422_SCHEMA_FAIL, DTX_424_NO_SAFE_CANDIDATE</t>
  </si>
  <si>
    <t>정책 위반 없는 query와 mission만 저장됨</t>
  </si>
  <si>
    <t>/detox/plans/{plan_id}/status</t>
  </si>
  <si>
    <t>mission_id, completed_yn, completed_at(optional)</t>
  </si>
  <si>
    <t>{
  "mission_id": "m1",
  "completed_yn": true,
  "completed_at": "2026-04-02T18:20:00Z"
}</t>
  </si>
  <si>
    <t>{
  "plan_id": "dp_001",
  "completed_ratio": 0.67,
  "reanalysis_recommended": true
}</t>
  </si>
  <si>
    <t>mission_log UPSERT, detox_plan progress update</t>
  </si>
  <si>
    <t>미션 체크 상태를 저장하고 수행률을 계산한다. 기준 이상이면 재분석 CTA를 활성화한다.</t>
  </si>
  <si>
    <t>DTX_404_PLAN, DTX_409_DUPLICATE_CHECK</t>
  </si>
  <si>
    <t>체크리스트 저장 후 진행률이 즉시 반영됨</t>
  </si>
  <si>
    <t>{
  "analysis_id": "an_101",
  "report": {
    "summary": "최근 30일간 특정 주제 편중이 확인되었습니다.",
    "axis_comments": [
      {
        "axis": "UAS",
        "comment": "검색기록이 적어 주도성이 낮게 계산되었습니다."
      }
    ],
    "missions_ref": "dp_001"
  }
}</t>
  </si>
  <si>
    <t>report_snapshot 조회</t>
  </si>
  <si>
    <t>저장된 report_json을 그대로 반환한다. 화면은 이 JSON을 그대로 섹션별 렌더링한다.</t>
  </si>
  <si>
    <t>없음(생성 시에는 Gemini 사용)</t>
  </si>
  <si>
    <t>REPORT_404_NOTREADY</t>
  </si>
  <si>
    <t>조회는 무료 / 재생성 시 Gemini 비용</t>
  </si>
  <si>
    <t>report_json schema를 그대로 화면에 렌더링 가능</t>
  </si>
  <si>
    <t>{
  "dataset_id": "ds_001"
}</t>
  </si>
  <si>
    <t>{
  "history": [
    {
      "analysis_id": "an_101",
      "created_at": "2026-04-15T10:00:00Z",
      "grade": "노랑",
      "score_version": "1.0.0"
    },
    {
      "analysis_id": "an_089",
      "created_at": "2026-04-01T10:00:00Z",
      "grade": "주황",
      "score_version": "0.9.0"
    }
  ]
}</t>
  </si>
  <si>
    <t>score_run, report_snapshot 조회</t>
  </si>
  <si>
    <t>과거 분석 이력 목록을 반환해 비교 대상을 고를 수 있게 한다.</t>
  </si>
  <si>
    <t>HIS_404_EMPTY</t>
  </si>
  <si>
    <t>과거 분석 목록이 시간순으로 보임</t>
  </si>
  <si>
    <t>{
  "analysis_id": "an_101",
  "base_analysis_id": "an_089"
}</t>
  </si>
  <si>
    <t>{
  "current": "an_101",
  "base": "an_089",
  "delta": {
    "risk_score": -12.4,
    "TDS": 15.2,
    "UAS": 9.1
  },
  "version_change": {
    "score": "1.0.0",
    "prompt": "1.1.0"
  }
}</t>
  </si>
  <si>
    <t>compare_snapshot 조회 또는 on-demand 계산</t>
  </si>
  <si>
    <t>이전 분석과 현재 분석의 delta를 계산해 축별/종합 변화량을 반환한다.</t>
  </si>
  <si>
    <t>CMP_404_BASE_MISSING</t>
  </si>
  <si>
    <t>현재/이전 차이가 수치로 표시됨</t>
  </si>
  <si>
    <t>/datasets/{dataset_id}</t>
  </si>
  <si>
    <t>dataset_id, delete_scope(full|results_only)</t>
  </si>
  <si>
    <t>{
  "dataset_id": "ds_001",
  "delete_scope": "full"
}</t>
  </si>
  <si>
    <t>{
  "success": true,
  "deleted": {
    "storage_objects": 2,
    "raw_events": 582,
    "analysis_runs": 3
  }
}</t>
  </si>
  <si>
    <t>raw_file/raw_event/norm_event/session_text/nlp_result/score_run/score_axis/detox_plan/report_snapshot 삭제, audit_log INSERT</t>
  </si>
  <si>
    <t>dataset 단위 cascade delete를 실행하고 완료 내역을 반환한다.</t>
  </si>
  <si>
    <t>DEL_404_DATASET, DEL_409_RUNNING_ANALYSIS</t>
  </si>
  <si>
    <t>삭제 후 목록과 조회가 모두 갱신됨</t>
  </si>
  <si>
    <t>화면별 API 호출 흐름</t>
  </si>
  <si>
    <t>각 화면에서 사용자가 어떤 행동을 했을 때 어떤 API를 어떤 순서로 호출하고, 성공/실패 시 UI가 어떻게 반응해야 하는지를 정리했다.</t>
  </si>
  <si>
    <t>사용자 액션</t>
  </si>
  <si>
    <t>호출 순서</t>
  </si>
  <si>
    <t>요청 핵심</t>
  </si>
  <si>
    <t>응답 핵심</t>
  </si>
  <si>
    <t>성공 시 화면 동작</t>
  </si>
  <si>
    <t>실패/예외 처리</t>
  </si>
  <si>
    <t>페이지 진입 시 최근 결과 표시 시도</t>
  </si>
  <si>
    <t>1</t>
  </si>
  <si>
    <t>세션 보유 여부</t>
  </si>
  <si>
    <t>recent_analyses[]</t>
  </si>
  <si>
    <t>최근 분석 카드 노출</t>
  </si>
  <si>
    <t>빈 이력 시 시작 안내 카드</t>
  </si>
  <si>
    <t>세션 없으면 로그인만 표시</t>
  </si>
  <si>
    <t>로그인 버튼 제출</t>
  </si>
  <si>
    <t>2</t>
  </si>
  <si>
    <t>session, user</t>
  </si>
  <si>
    <t>로그인 성공 후 홈 재로딩</t>
  </si>
  <si>
    <t>401이면 오류 문구 표시</t>
  </si>
  <si>
    <t>테스트 계정 허용</t>
  </si>
  <si>
    <t>템플릿 다운로드 링크 확인</t>
  </si>
  <si>
    <t>플랫폼별 템플릿 버튼 표시</t>
  </si>
  <si>
    <t>없으면 기본 가이드 문구</t>
  </si>
  <si>
    <t>정적 URL 가능</t>
  </si>
  <si>
    <t>동의 체크 후 다음 단계</t>
  </si>
  <si>
    <t>업로드 단계로 이동</t>
  </si>
  <si>
    <t>동의 실패 시 다음 단계 차단</t>
  </si>
  <si>
    <t>최신 버전 저장</t>
  </si>
  <si>
    <t>파일 업로드</t>
  </si>
  <si>
    <t>dataset_id, validation</t>
  </si>
  <si>
    <t>검증 결과 패널 표시</t>
  </si>
  <si>
    <t>fatal error 시 업로드 중단</t>
  </si>
  <si>
    <t>watch/search/SNS 공통</t>
  </si>
  <si>
    <t>컬럼 매핑 저장</t>
  </si>
  <si>
    <t>column_mapping</t>
  </si>
  <si>
    <t>normalized_rows, rejected_rows</t>
  </si>
  <si>
    <t>정규화 결과 표시</t>
  </si>
  <si>
    <t>잘못된 mapping이면 수정 요구</t>
  </si>
  <si>
    <t>분석 시작 클릭</t>
  </si>
  <si>
    <t>dataset_id, window_days</t>
  </si>
  <si>
    <t>analysis_id, QUEUED</t>
  </si>
  <si>
    <t>진행상태 화면으로 전환</t>
  </si>
  <si>
    <t>동의 없음/중복 실행 시 차단</t>
  </si>
  <si>
    <t>비동기 큐 시작</t>
  </si>
  <si>
    <t>진행상태 polling</t>
  </si>
  <si>
    <t>status, stage, progress</t>
  </si>
  <si>
    <t>stepper 갱신</t>
  </si>
  <si>
    <t>실패 단계와 예외코드 노출</t>
  </si>
  <si>
    <t>5~10초 polling</t>
  </si>
  <si>
    <t>분석 완료 후 요약 로드</t>
  </si>
  <si>
    <t>risk_score, grade, summary</t>
  </si>
  <si>
    <t>신호등/요약문 렌더링</t>
  </si>
  <si>
    <t>HOLD면 보류 배지 우선</t>
  </si>
  <si>
    <t>점수는 DB값만</t>
  </si>
  <si>
    <t>상세 탭 열기</t>
  </si>
  <si>
    <t>type_code, axes[]</t>
  </si>
  <si>
    <t>레이더/유형 카드 렌더링</t>
  </si>
  <si>
    <t>partial 축 badge 표시</t>
  </si>
  <si>
    <t>고정 규칙표 사용</t>
  </si>
  <si>
    <t>기간 필터 변경</t>
  </si>
  <si>
    <t>analysis_id, from_date, to_date</t>
  </si>
  <si>
    <t>series{}</t>
  </si>
  <si>
    <t>차트 재렌더링</t>
  </si>
  <si>
    <t>데이터 부족 빈 상태</t>
  </si>
  <si>
    <t>차트와 score 일치해야 함</t>
  </si>
  <si>
    <t>미션 생성 버튼</t>
  </si>
  <si>
    <t>analysis_id, mission_days</t>
  </si>
  <si>
    <t>reverse_queries, missions</t>
  </si>
  <si>
    <t>query 카드/체크리스트 노출</t>
  </si>
  <si>
    <t>안전 후보 없으면 fallback</t>
  </si>
  <si>
    <t>Gemini 호출</t>
  </si>
  <si>
    <t>미션 체크/완료</t>
  </si>
  <si>
    <t>mission_id, completed_yn</t>
  </si>
  <si>
    <t>completed_ratio</t>
  </si>
  <si>
    <t>진행률 갱신, 재분석 CTA 노출</t>
  </si>
  <si>
    <t>중복 체크 시 경고</t>
  </si>
  <si>
    <t>mission_log 저장</t>
  </si>
  <si>
    <t>현재 리포트 로드</t>
  </si>
  <si>
    <t>report_json</t>
  </si>
  <si>
    <t>섹션형 리포트 렌더링</t>
  </si>
  <si>
    <t>준비 안 되면 대기 문구</t>
  </si>
  <si>
    <t>JSON schema 기반</t>
  </si>
  <si>
    <t>과거 이력 목록 조회</t>
  </si>
  <si>
    <t>비교 대상 선택 목록 노출</t>
  </si>
  <si>
    <t>시간순 정렬</t>
  </si>
  <si>
    <t>비교 실행</t>
  </si>
  <si>
    <t>3</t>
  </si>
  <si>
    <t>delta{}</t>
  </si>
  <si>
    <t>변화 카드/그래프 표시</t>
  </si>
  <si>
    <t>base 없음</t>
  </si>
  <si>
    <t>버전 차이도 함께 표시</t>
  </si>
  <si>
    <t>목록 테이블 렌더링</t>
  </si>
  <si>
    <t>빈 목록</t>
  </si>
  <si>
    <t>본인 데이터만</t>
  </si>
  <si>
    <t>동의 철회</t>
  </si>
  <si>
    <t>신규 분석 차단 UI 반영</t>
  </si>
  <si>
    <t>실패 시 롤백</t>
  </si>
  <si>
    <t>기존 데이터는 유지</t>
  </si>
  <si>
    <t>dataset 삭제</t>
  </si>
  <si>
    <t>deleted counts</t>
  </si>
  <si>
    <t>목록 갱신, 상세 접근 차단</t>
  </si>
  <si>
    <t>실행 중 분석이면 차단</t>
  </si>
  <si>
    <t>cascade delete</t>
  </si>
  <si>
    <t>개발 스택 상세</t>
  </si>
  <si>
    <t>프로젝트에서 실제로 사용할 프로그램·프레임워크·API를 무료 단계 기준으로 정리하고, 언제 유료/고도화로 확장할지까지 연결했다.</t>
  </si>
  <si>
    <t>선택 기술</t>
  </si>
  <si>
    <t>실제 사용 위치</t>
  </si>
  <si>
    <t>구현 방식</t>
  </si>
  <si>
    <t>확장 시점</t>
  </si>
  <si>
    <t>전체 사용자 화면(UI01~UI10)</t>
  </si>
  <si>
    <t>App Router 기반 페이지와 API 호출 클라이언트를 구성하고, 화면 상태/로딩/빈 상태를 명확히 분리한다.</t>
  </si>
  <si>
    <t>팀 프로젝트에서 화면 구조화와 배포가 쉽고 타입 안정성을 확보할 수 있다.</t>
  </si>
  <si>
    <t>기본 유지</t>
  </si>
  <si>
    <t>UI/대시보드 중심</t>
  </si>
  <si>
    <t>UI 컴포넌트</t>
  </si>
  <si>
    <t>Tailwind CSS + shadcn/ui</t>
  </si>
  <si>
    <t>폼, 카드, 모달, 배지, 스테퍼</t>
  </si>
  <si>
    <t>업로드 위저드, 배지, 체크리스트, 경고 패널을 빠르게 조합한다.</t>
  </si>
  <si>
    <t>첫 프로젝트에서 디자인 일관성을 빠르게 확보하기 좋다.</t>
  </si>
  <si>
    <t>디자인 시스템 용도</t>
  </si>
  <si>
    <t>https://tailwindcss.com/docs/installation</t>
  </si>
  <si>
    <t>차트</t>
  </si>
  <si>
    <t>Plotly.js</t>
  </si>
  <si>
    <t>레이더, 시계열, 히스토그램, 막대차트</t>
  </si>
  <si>
    <t>서버에서 만든 집계값을 인터랙티브 차트로 렌더링한다.</t>
  </si>
  <si>
    <t>타임라인/대시보드 시연 효과가 좋고 웹 상호작용이 강하다.</t>
  </si>
  <si>
    <t>수행계획서 시각화 방향과 일치</t>
  </si>
  <si>
    <t>그래프</t>
  </si>
  <si>
    <t>NetworkX + Plotly.js</t>
  </si>
  <si>
    <t>관심사 지식 그래프</t>
  </si>
  <si>
    <t>서버에서 topic/entity/source 공출현 edge를 만들고 프론트에서 노드/엣지 그래프로 표현한다.</t>
  </si>
  <si>
    <t>벡터 DB 없이도 관계 그래프를 구현할 수 있다.</t>
  </si>
  <si>
    <t>규모 증가 시 graph DB 검토</t>
  </si>
  <si>
    <t>MVP는 공출현 그래프</t>
  </si>
  <si>
    <t>https://networkx.org/documentation/stable/</t>
  </si>
  <si>
    <t>백엔드</t>
  </si>
  <si>
    <t>업로드, 분석 orchestration, 내부 API</t>
  </si>
  <si>
    <t>REST API, validation schema, OpenAPI 문서를 자동 생성한다.</t>
  </si>
  <si>
    <t>Python 데이터 처리/AI 연동과 궁합이 좋고 제출용 API 문서화가 쉽다.</t>
  </si>
  <si>
    <t>OpenAPI 자동 문서 장점</t>
  </si>
  <si>
    <t>파서/전처리</t>
  </si>
  <si>
    <t>pandas + csv/json/zipfile + hashlib</t>
  </si>
  <si>
    <t>원천 파일 파싱/정규화</t>
  </si>
  <si>
    <t>CSV/JSON/HTML export 파일을 읽고 정규화 테이블을 생성한다.</t>
  </si>
  <si>
    <t>파일 기반 MVP에서 가장 현실적이고 구현 속도가 빠르다.</t>
  </si>
  <si>
    <t>direct SNS API 대신 업로드 기반</t>
  </si>
  <si>
    <t>https://pandas.pydata.org/docs/</t>
  </si>
  <si>
    <t>점수 계산</t>
  </si>
  <si>
    <t>6축 점수, 조종지수 보조값</t>
  </si>
  <si>
    <t>Cloud NL 결과와 DB 집계값을 수식으로 계산하고, 10일 단위 topic vector cosine similarity로 조종지수 보조값을 산출한다.</t>
  </si>
  <si>
    <t>LLM에 점수를 맡기지 않고 결정적 계산을 유지할 수 있다.</t>
  </si>
  <si>
    <t>DBMS/Auth/Storage</t>
  </si>
  <si>
    <t>Supabase(PostgreSQL) + Auth + Storage + RLS</t>
  </si>
  <si>
    <t>사용자 데이터 저장, 인증, 파일 보관</t>
  </si>
  <si>
    <t>raw/norm/nlp/score/report를 관계형으로 저장하고 user_id=auth.uid() 정책으로 격리한다.</t>
  </si>
  <si>
    <t>한 서비스에서 DB/Auth/Storage를 동시에 해결해 팀 규모에 가장 현실적이다.</t>
  </si>
  <si>
    <t>DB 용량/egress/MAU 증가 시 Pro</t>
  </si>
  <si>
    <t>정량 분석 API</t>
  </si>
  <si>
    <t>무료 구간 후 유료</t>
  </si>
  <si>
    <t>sentiment/entity/classification/moderation 입력 수집</t>
  </si>
  <si>
    <t>item_text와 session_text를 분석해 정량 점수 입력값을 만들고 response_json을 저장한다.</t>
  </si>
  <si>
    <t>LLM이 아닌 공식 분석 API로서 점수 입력의 재현성과 설명력을 높인다.</t>
  </si>
  <si>
    <t>문자량 증가 시 pay-as-you-go</t>
  </si>
  <si>
    <t>점수 계산 입력 전용</t>
  </si>
  <si>
    <t>LLM 생성</t>
  </si>
  <si>
    <t>free tier / paid tier</t>
  </si>
  <si>
    <t>reverse query, 미션, 설명문, report JSON 생성</t>
  </si>
  <si>
    <t>score_json을 입력으로 받아 response_json_schema에 맞는 구조화 결과를 생성한다.</t>
  </si>
  <si>
    <t>무료 단계에서 시작 가능하고 JSON schema 제어가 쉬워 UI 연동이 안정적이다.</t>
  </si>
  <si>
    <t>시연 안정성/호출량 증가 시 billed tier</t>
  </si>
  <si>
    <t>점수 계산 금지</t>
  </si>
  <si>
    <t>LLM 비용 절감 확장</t>
  </si>
  <si>
    <t>대량 배치 리포트 재생성</t>
  </si>
  <si>
    <t>동일 schema를 유지한 채 저비용 batch 생성에 사용한다.</t>
  </si>
  <si>
    <t>같은 계열 유지로 프롬프트/구조 변경 비용이 작다.</t>
  </si>
  <si>
    <t>호출량이 누적될 때만 도입</t>
  </si>
  <si>
    <t>기본 MVP 메인 모델은 아님</t>
  </si>
  <si>
    <t>video/channel 메타데이터 보강</t>
  </si>
  <si>
    <t>video_id/channel_id로 title, description, tags, categoryId, topicDetails를 조회한다.</t>
  </si>
  <si>
    <t>watch/search export만으로 부족한 텍스트와 출처 메타를 낮은 quota cost로 보강할 수 있다.</t>
  </si>
  <si>
    <t>기본 quota 초과 시 확장 검토</t>
  </si>
  <si>
    <t>search.list는 기본 흐름 제외</t>
  </si>
  <si>
    <t>DB job_queue + FastAPI worker</t>
  </si>
  <si>
    <t>업로드 후 비동기 분석 순차 처리</t>
  </si>
  <si>
    <t>analysis_job/status와 retry_count를 DB에 저장하고 백엔드 worker가 단계별로 처리한다.</t>
  </si>
  <si>
    <t>Redis/Celery 없이도 MVP 구현이 가능하다.</t>
  </si>
  <si>
    <t>동시 사용자 증가 시 Redis/Celery 또는 managed queue 검토</t>
  </si>
  <si>
    <t>초기 MVP는 단순 큐</t>
  </si>
  <si>
    <t>문서 정합성 검토 체크</t>
  </si>
  <si>
    <t>역할 분리, API 연결, DBMS 선택, 무료/유료 구분, 예외 처리, 범위 관리에서 혼동될 수 있는 지점을 다시 점검하고 보강 내용을 명시했다.</t>
  </si>
  <si>
    <t>점검 항목</t>
  </si>
  <si>
    <t>현재 문서 반영 상태</t>
  </si>
  <si>
    <t>보강 내용</t>
  </si>
  <si>
    <t>남은 주의</t>
  </si>
  <si>
    <t>관련 시트</t>
  </si>
  <si>
    <t>Cloud NL과 Gemini 역할 분리</t>
  </si>
  <si>
    <t>반영 완료</t>
  </si>
  <si>
    <t>Cloud NL은 sentiment/entity/classification/moderation 입력 수집 전용, Gemini 2.5 Flash는 reverse query/미션/리포트 생성 전용으로 분리했다.</t>
  </si>
  <si>
    <t>역할이 섞이는 문장 금지</t>
  </si>
  <si>
    <t>API_모델역할, 기능정의_상세, API_명세_상세</t>
  </si>
  <si>
    <t>점수 계산과 설명 생성 분리</t>
  </si>
  <si>
    <t>6축 점수와 grade는 Python scoring engine이 계산하고, 설명문과 report_json만 Gemini가 생성한다.</t>
  </si>
  <si>
    <t>화면 문구에서 'AI가 점수를 판단' 같은 표현 금지</t>
  </si>
  <si>
    <t>점수산정_6축, 최종권고</t>
  </si>
  <si>
    <t>DBMS 최종 선택 명시</t>
  </si>
  <si>
    <t>최종 채택은 Supabase(PostgreSQL)이며 Auth/Storage/RLS까지 동일 스택으로 고정했다.</t>
  </si>
  <si>
    <t>MongoDB 등 대체안 혼용 금지</t>
  </si>
  <si>
    <t>DBMS_설계, 개발스택_상세</t>
  </si>
  <si>
    <t>업로드 범위 현실화</t>
  </si>
  <si>
    <t>MVP는 YouTube/SNS export 업로드 기반으로 정의하고 direct SNS official API 연동은 제외했다.</t>
  </si>
  <si>
    <t>범위 확장 요구가 생겨도 WBS_05 이후로 미루기</t>
  </si>
  <si>
    <t>데이터정의, 검토_체크</t>
  </si>
  <si>
    <t>YouTube quota 리스크</t>
  </si>
  <si>
    <t>videos.list/channels.list만 기본 사용하고 search.list는 100 units/call이므로 기본 흐름에서 제외했다.</t>
  </si>
  <si>
    <t>데모용 public search 기능을 넣을 때만 별도 검토</t>
  </si>
  <si>
    <t>API_모델역할, 데이터정의</t>
  </si>
  <si>
    <t>한국어 entity sentiment 제약</t>
  </si>
  <si>
    <t>ko는 entity sentiment 공식 지원 대상이 아니므로 VOS는 partial fallback 식을 명시했다.</t>
  </si>
  <si>
    <t>한국어 결과를 영어와 같은 정확도로 표현하지 않기</t>
  </si>
  <si>
    <t>점수산정_6축, 예외코드</t>
  </si>
  <si>
    <t>classifyText 길이 제약</t>
  </si>
  <si>
    <t>20토큰 미만 텍스트는 classifyText를 호출하지 않고 session_text 병합/fallback 분류로 처리한다.</t>
  </si>
  <si>
    <t>짧은 제목만 많은 샘플에서 coverage 저하 주의</t>
  </si>
  <si>
    <t>기능정의_상세, 예외코드</t>
  </si>
  <si>
    <t>UI와 API 연결 누락</t>
  </si>
  <si>
    <t>기존 UI 시트의 /dashboard/recent, /templates, /consent/revoke, /compare, /datasets API를 상세 명세에 추가했다.</t>
  </si>
  <si>
    <t>요약 시트와 상세 시트의 API ID 불일치가 없도록 유지</t>
  </si>
  <si>
    <t>UI_화면정의, API_명세_상세, 화면_API흐름</t>
  </si>
  <si>
    <t>Supabase pgvector 필요성</t>
  </si>
  <si>
    <t>MVP는 관계형 집계 + Python cosine_similarity로 구현하고, pgvector는 선택적 고도화로만 표기했다.</t>
  </si>
  <si>
    <t>초기 단계에서 불필요한 벡터 DB 복잡도 도입 금지</t>
  </si>
  <si>
    <t>DBMS_설계</t>
  </si>
  <si>
    <t>유료 전환 조건 명확화</t>
  </si>
  <si>
    <t>Gemini rate limit, Cloud NL 문자량, Supabase 용량/egress, 공식 데모 안정성 필요 시에만 유료로 확장하도록 정리했다.</t>
  </si>
  <si>
    <t>처음부터 유료를 전제하지 않기</t>
  </si>
  <si>
    <t>무료유료_운영, 최종권고</t>
  </si>
  <si>
    <t>유형 명칭</t>
  </si>
  <si>
    <t>DWML (주도적 안정 확장형)</t>
  </si>
  <si>
    <t>DWSL (주도적 고자극 관찰형)</t>
  </si>
  <si>
    <t>PWSF (추천형 고자극 확산형)</t>
  </si>
  <si>
    <t>PNML (추천형 안정 몰입형)</t>
  </si>
  <si>
    <t>DWSF (주도적 고자극 확산형)</t>
  </si>
  <si>
    <t>DNSL (주도적 고자극 몰입형)</t>
  </si>
  <si>
    <t>PWMF (추천형 안정 확산형)</t>
  </si>
  <si>
    <t>PNSF (추천형 고자극 집중형)</t>
  </si>
  <si>
    <t>DNMF (주도적 안정 집중형)</t>
  </si>
  <si>
    <t>DNML (주도적 안정 몰입형)</t>
  </si>
  <si>
    <t>PNMF (추천형 안정 집중형)</t>
  </si>
  <si>
    <t>PNSL (추천형 고자극 몰입형)</t>
  </si>
  <si>
    <t>DWMF (주도적 안정 확산형)</t>
  </si>
  <si>
    <t>PWML (추천형 안정 관람형)</t>
  </si>
  <si>
    <t>PWSL (추천형 고자극 관람형)</t>
  </si>
  <si>
    <t>DNSF (주도적 고자극 집중형)</t>
  </si>
  <si>
    <t>핵심 키워드</t>
    <phoneticPr fontId="10" type="noConversion"/>
  </si>
  <si>
    <t>#완성형 #전방위적 #리더십</t>
  </si>
  <si>
    <t>#독고다이 #전문가 #확신</t>
  </si>
  <si>
    <t>#팔로워 #협력적 #수용적</t>
  </si>
  <si>
    <t>#에너지응축 #폭발직전 #내실</t>
  </si>
  <si>
    <t>#열정맨 #공감능력 #변화무쌍</t>
  </si>
  <si>
    <t>#승부사 #목표지향 #고집</t>
  </si>
  <si>
    <t>#분위기메이커 #친화력 #유연</t>
  </si>
  <si>
    <t>#번아웃주의 #충동적 #에너지과잉</t>
  </si>
  <si>
    <t>#실용주의 #전략가 #효율성</t>
  </si>
  <si>
    <t>#외골수 #심도깊은 #데이터중심</t>
  </si>
  <si>
    <t>#성실한 #전문분야 #안정적</t>
  </si>
  <si>
    <t>#폐쇄적완벽 #우물안개구리 #심취</t>
  </si>
  <si>
    <t>#변화갈망 #탐색중 #유동적</t>
  </si>
  <si>
    <t>#방어적 #고립적 #안전제일</t>
  </si>
  <si>
    <t>#우유부단 #의존적 #관망</t>
  </si>
  <si>
    <t>#소외형 #무기력 #재정비필요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</si>
</sst>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yyyy\-mm\-dd"/>
  </numFmts>
  <fonts count="11">
    <font>
      <sz val="11"/>
      <color theme="1"/>
      <name val="Calibri"/>
      <scheme val="minor"/>
    </font>
    <font>
      <b/>
      <sz val="12"/>
      <color rgb="FFFFFFFF"/>
      <name val="Malgun Gothic"/>
      <family val="3"/>
      <charset val="129"/>
    </font>
    <font>
      <sz val="11"/>
      <name val="Calibri"/>
    </font>
    <font>
      <i/>
      <sz val="10"/>
      <color rgb="FF1F1F1F"/>
      <name val="Malgun Gothic"/>
      <family val="3"/>
      <charset val="129"/>
    </font>
    <font>
      <b/>
      <sz val="10"/>
      <color rgb="FFFFFFFF"/>
      <name val="Malgun Gothic"/>
      <family val="3"/>
      <charset val="129"/>
    </font>
    <font>
      <sz val="10"/>
      <color rgb="FF000000"/>
      <name val="Malgun Gothic"/>
      <family val="3"/>
      <charset val="129"/>
    </font>
    <font>
      <sz val="11"/>
      <color theme="1"/>
      <name val="Calibri"/>
    </font>
    <font>
      <b/>
      <sz val="10"/>
      <color rgb="FF000000"/>
      <name val="Malgun Gothic"/>
      <family val="3"/>
      <charset val="129"/>
    </font>
    <font>
      <u/>
      <sz val="10"/>
      <color rgb="FF0563C1"/>
      <name val="Malgun Gothic"/>
      <family val="3"/>
      <charset val="129"/>
    </font>
    <font>
      <u/>
      <sz val="10"/>
      <color rgb="FF0563C1"/>
      <name val="Malgun Gothic"/>
      <family val="3"/>
      <charset val="129"/>
    </font>
    <font>
      <sz val="8"/>
      <name val="Calibri"/>
      <family val="3"/>
      <charset val="129"/>
      <scheme val="minor"/>
    </font>
  </fonts>
  <fills count="17">
    <fill>
      <patternFill patternType="none"/>
    </fill>
    <fill>
      <patternFill patternType="gray125"/>
    </fill>
    <fill>
      <patternFill patternType="solid">
        <fgColor rgb="FF1F4E78"/>
        <bgColor rgb="FF1F4E78"/>
      </patternFill>
    </fill>
    <fill>
      <patternFill patternType="solid">
        <fgColor rgb="FFD9EAF7"/>
        <bgColor rgb="FFD9EAF7"/>
      </patternFill>
    </fill>
    <fill>
      <patternFill patternType="solid">
        <fgColor rgb="FF2F75B5"/>
        <bgColor rgb="FF2F75B5"/>
      </patternFill>
    </fill>
    <fill>
      <patternFill patternType="solid">
        <fgColor rgb="FFF7FBFF"/>
        <bgColor rgb="FFF7FBFF"/>
      </patternFill>
    </fill>
    <fill>
      <patternFill patternType="solid">
        <fgColor rgb="FF0070C0"/>
        <bgColor rgb="FF0070C0"/>
      </patternFill>
    </fill>
    <fill>
      <patternFill patternType="solid">
        <fgColor rgb="FFF2F2F2"/>
        <bgColor rgb="FFF2F2F2"/>
      </patternFill>
    </fill>
    <fill>
      <patternFill patternType="solid">
        <fgColor rgb="FFFFFFFF"/>
        <bgColor rgb="FFFFFFFF"/>
      </patternFill>
    </fill>
    <fill>
      <patternFill patternType="solid">
        <fgColor rgb="FFE4DFEC"/>
        <bgColor rgb="FFE4DFEC"/>
      </patternFill>
    </fill>
    <fill>
      <patternFill patternType="solid">
        <fgColor rgb="FFE2F0D9"/>
        <bgColor rgb="FFE2F0D9"/>
      </patternFill>
    </fill>
    <fill>
      <patternFill patternType="solid">
        <fgColor rgb="FFEDEDED"/>
        <bgColor rgb="FFEDEDED"/>
      </patternFill>
    </fill>
    <fill>
      <patternFill patternType="solid">
        <fgColor rgb="FFFFF2CC"/>
        <bgColor rgb="FFFFF2CC"/>
      </patternFill>
    </fill>
    <fill>
      <patternFill patternType="solid">
        <fgColor rgb="FFDDEBF7"/>
        <bgColor rgb="FFDDEBF7"/>
      </patternFill>
    </fill>
    <fill>
      <patternFill patternType="solid">
        <fgColor rgb="FFE7E6E6"/>
        <bgColor rgb="FFE7E6E6"/>
      </patternFill>
    </fill>
    <fill>
      <patternFill patternType="solid">
        <fgColor rgb="FFFCE4D6"/>
        <bgColor rgb="FFFCE4D6"/>
      </patternFill>
    </fill>
    <fill>
      <patternFill patternType="solid">
        <fgColor rgb="FFD9E2F3"/>
        <bgColor rgb="FFD9E2F3"/>
      </patternFill>
    </fill>
  </fills>
  <borders count="9">
    <border>
      <left/>
      <right/>
      <top/>
      <bottom/>
      <diagonal/>
    </border>
    <border>
      <left/>
      <right/>
      <top/>
      <bottom/>
      <diagonal/>
    </border>
    <border>
      <left/>
      <right/>
      <top/>
      <bottom/>
      <diagonal/>
    </border>
    <border>
      <left/>
      <right/>
      <top/>
      <bottom/>
      <diagonal/>
    </border>
    <border>
      <left style="thin">
        <color rgb="FFC7D3E3"/>
      </left>
      <right style="thin">
        <color rgb="FFC7D3E3"/>
      </right>
      <top style="thin">
        <color rgb="FFC7D3E3"/>
      </top>
      <bottom style="thin">
        <color rgb="FFC7D3E3"/>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34">
    <xf numFmtId="0" fontId="0" fillId="0" borderId="0" xfId="0" applyFont="1" applyAlignment="1"/>
    <xf numFmtId="0" fontId="4" fillId="4" borderId="4" xfId="0" applyFont="1" applyFill="1" applyBorder="1" applyAlignment="1">
      <alignment horizontal="center" vertical="center" wrapText="1"/>
    </xf>
    <xf numFmtId="0" fontId="5" fillId="0" borderId="4" xfId="0" applyFont="1" applyBorder="1" applyAlignment="1">
      <alignment horizontal="left" vertical="top" wrapText="1"/>
    </xf>
    <xf numFmtId="0" fontId="5" fillId="5" borderId="4" xfId="0" applyFont="1" applyFill="1" applyBorder="1" applyAlignment="1">
      <alignment horizontal="left" vertical="top" wrapText="1"/>
    </xf>
    <xf numFmtId="0" fontId="6" fillId="0" borderId="0" xfId="0" applyFont="1" applyAlignment="1">
      <alignment horizontal="left" vertical="top" wrapText="1"/>
    </xf>
    <xf numFmtId="0" fontId="7" fillId="3" borderId="5" xfId="0" applyFont="1" applyFill="1" applyBorder="1" applyAlignment="1">
      <alignment horizontal="center" vertical="center" wrapText="1"/>
    </xf>
    <xf numFmtId="176" fontId="7" fillId="7" borderId="5" xfId="0" applyNumberFormat="1" applyFont="1" applyFill="1" applyBorder="1" applyAlignment="1">
      <alignment horizontal="center" vertical="center" wrapText="1"/>
    </xf>
    <xf numFmtId="0" fontId="7" fillId="7" borderId="5" xfId="0" applyFont="1" applyFill="1" applyBorder="1" applyAlignment="1">
      <alignment horizontal="center" vertical="center" wrapText="1"/>
    </xf>
    <xf numFmtId="0" fontId="6" fillId="7" borderId="5" xfId="0" applyFont="1" applyFill="1" applyBorder="1"/>
    <xf numFmtId="0" fontId="5" fillId="8" borderId="5" xfId="0" applyFont="1" applyFill="1" applyBorder="1" applyAlignment="1">
      <alignment horizontal="left" vertical="center" wrapText="1"/>
    </xf>
    <xf numFmtId="0" fontId="5" fillId="9" borderId="5" xfId="0" applyFont="1" applyFill="1" applyBorder="1" applyAlignment="1">
      <alignment horizontal="left" vertical="center" wrapText="1"/>
    </xf>
    <xf numFmtId="0" fontId="5" fillId="8" borderId="5" xfId="0" applyFont="1" applyFill="1" applyBorder="1" applyAlignment="1">
      <alignment horizontal="center" vertical="center" wrapText="1"/>
    </xf>
    <xf numFmtId="176" fontId="5" fillId="8" borderId="5" xfId="0" applyNumberFormat="1" applyFont="1" applyFill="1" applyBorder="1" applyAlignment="1">
      <alignment horizontal="center" vertical="center" wrapText="1"/>
    </xf>
    <xf numFmtId="0" fontId="5" fillId="10" borderId="5" xfId="0" applyFont="1" applyFill="1" applyBorder="1" applyAlignment="1">
      <alignment horizontal="center" vertical="center" wrapText="1"/>
    </xf>
    <xf numFmtId="0" fontId="5" fillId="11" borderId="5" xfId="0" applyFont="1" applyFill="1" applyBorder="1" applyAlignment="1">
      <alignment horizontal="left" vertical="center" wrapText="1"/>
    </xf>
    <xf numFmtId="0" fontId="5" fillId="12" borderId="5" xfId="0" applyFont="1" applyFill="1" applyBorder="1" applyAlignment="1">
      <alignment horizontal="center" vertical="center" wrapText="1"/>
    </xf>
    <xf numFmtId="0" fontId="5" fillId="13" borderId="5" xfId="0" applyFont="1" applyFill="1" applyBorder="1" applyAlignment="1">
      <alignment horizontal="left" vertical="center" wrapText="1"/>
    </xf>
    <xf numFmtId="0" fontId="5" fillId="14" borderId="5" xfId="0" applyFont="1" applyFill="1" applyBorder="1" applyAlignment="1">
      <alignment horizontal="center" vertical="center" wrapText="1"/>
    </xf>
    <xf numFmtId="0" fontId="5" fillId="15" borderId="5" xfId="0" applyFont="1" applyFill="1" applyBorder="1" applyAlignment="1">
      <alignment horizontal="left" vertical="center" wrapText="1"/>
    </xf>
    <xf numFmtId="0" fontId="5" fillId="10" borderId="5" xfId="0" applyFont="1" applyFill="1" applyBorder="1" applyAlignment="1">
      <alignment horizontal="left" vertical="center" wrapText="1"/>
    </xf>
    <xf numFmtId="0" fontId="5" fillId="16" borderId="5" xfId="0" applyFont="1" applyFill="1" applyBorder="1" applyAlignment="1">
      <alignment horizontal="center" vertical="center" wrapText="1"/>
    </xf>
    <xf numFmtId="0" fontId="5" fillId="0" borderId="4" xfId="0" applyFont="1" applyBorder="1" applyAlignment="1">
      <alignment horizontal="left" vertical="center" wrapText="1"/>
    </xf>
    <xf numFmtId="0" fontId="8" fillId="5" borderId="4" xfId="0" applyFont="1" applyFill="1" applyBorder="1" applyAlignment="1">
      <alignment horizontal="left" vertical="top" wrapText="1"/>
    </xf>
    <xf numFmtId="0" fontId="9" fillId="0" borderId="4" xfId="0" applyFont="1" applyBorder="1" applyAlignment="1">
      <alignment horizontal="left" vertical="top" wrapText="1"/>
    </xf>
    <xf numFmtId="0" fontId="5" fillId="0" borderId="4" xfId="0" applyFont="1" applyBorder="1" applyAlignment="1">
      <alignment vertical="center" wrapText="1"/>
    </xf>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0" fontId="3" fillId="3" borderId="1" xfId="0" applyFont="1" applyFill="1" applyBorder="1" applyAlignment="1">
      <alignment horizontal="left" vertical="center" wrapText="1"/>
    </xf>
    <xf numFmtId="0" fontId="3" fillId="3" borderId="1" xfId="0" applyFont="1" applyFill="1" applyBorder="1" applyAlignment="1">
      <alignment horizontal="center" vertical="center" wrapText="1"/>
    </xf>
    <xf numFmtId="0" fontId="1" fillId="6" borderId="1" xfId="0" applyFont="1" applyFill="1" applyBorder="1" applyAlignment="1">
      <alignment horizontal="left" vertical="center"/>
    </xf>
    <xf numFmtId="0" fontId="5" fillId="12" borderId="6" xfId="0" applyFont="1" applyFill="1" applyBorder="1" applyAlignment="1">
      <alignment horizontal="left" vertical="center" wrapText="1"/>
    </xf>
    <xf numFmtId="0" fontId="2" fillId="0" borderId="7" xfId="0" applyFont="1" applyBorder="1"/>
    <xf numFmtId="0" fontId="2" fillId="0" borderId="8" xfId="0" applyFont="1" applyBorder="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customschemas.google.com/relationships/workbookmetadata" Target="metadata"/><Relationship Id="rId30"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0"/>
  <sheetViews>
    <sheetView showGridLines="0" workbookViewId="0">
      <selection activeCell="E22" sqref="E22"/>
    </sheetView>
  </sheetViews>
  <sheetFormatPr defaultColWidth="14.42578125" defaultRowHeight="15" customHeight="1"/>
  <cols>
    <col min="1" max="1" width="10" customWidth="1"/>
    <col min="2" max="2" width="17.5703125" customWidth="1"/>
    <col min="3" max="3" width="22" customWidth="1"/>
    <col min="4" max="4" width="13.5703125" customWidth="1"/>
    <col min="5" max="5" width="130.28515625" customWidth="1"/>
    <col min="6" max="7" width="7.28515625" customWidth="1"/>
    <col min="8" max="8" width="21.85546875" customWidth="1"/>
    <col min="9" max="26" width="8.7109375" customWidth="1"/>
  </cols>
  <sheetData>
    <row r="1" spans="1:8" ht="17.25">
      <c r="A1" s="25" t="s">
        <v>0</v>
      </c>
      <c r="B1" s="26"/>
      <c r="C1" s="26"/>
      <c r="D1" s="26"/>
      <c r="E1" s="26"/>
      <c r="F1" s="26"/>
      <c r="G1" s="26"/>
      <c r="H1" s="27"/>
    </row>
    <row r="2" spans="1:8">
      <c r="A2" s="28" t="s">
        <v>1</v>
      </c>
      <c r="B2" s="26"/>
      <c r="C2" s="26"/>
      <c r="D2" s="26"/>
      <c r="E2" s="26"/>
      <c r="F2" s="26"/>
      <c r="G2" s="26"/>
      <c r="H2" s="27"/>
    </row>
    <row r="4" spans="1:8">
      <c r="A4" s="1" t="s">
        <v>2</v>
      </c>
      <c r="B4" s="1" t="s">
        <v>3</v>
      </c>
      <c r="C4" s="1" t="s">
        <v>4</v>
      </c>
      <c r="D4" s="1" t="s">
        <v>5</v>
      </c>
      <c r="E4" s="1" t="s">
        <v>6</v>
      </c>
      <c r="F4" s="1" t="s">
        <v>7</v>
      </c>
      <c r="G4" s="1" t="s">
        <v>8</v>
      </c>
      <c r="H4" s="1" t="s">
        <v>9</v>
      </c>
    </row>
    <row r="5" spans="1:8" ht="27">
      <c r="A5" s="2" t="s">
        <v>10</v>
      </c>
      <c r="B5" s="2" t="s">
        <v>11</v>
      </c>
      <c r="C5" s="2" t="s">
        <v>12</v>
      </c>
      <c r="D5" s="2" t="s">
        <v>13</v>
      </c>
      <c r="E5" s="2" t="s">
        <v>14</v>
      </c>
      <c r="F5" s="2" t="s">
        <v>15</v>
      </c>
      <c r="G5" s="2" t="s">
        <v>16</v>
      </c>
      <c r="H5" s="2" t="s">
        <v>17</v>
      </c>
    </row>
    <row r="6" spans="1:8" ht="27">
      <c r="A6" s="3" t="s">
        <v>10</v>
      </c>
      <c r="B6" s="3" t="s">
        <v>11</v>
      </c>
      <c r="C6" s="3" t="s">
        <v>18</v>
      </c>
      <c r="D6" s="3" t="s">
        <v>19</v>
      </c>
      <c r="E6" s="3" t="s">
        <v>20</v>
      </c>
      <c r="F6" s="3" t="s">
        <v>15</v>
      </c>
      <c r="G6" s="3" t="s">
        <v>16</v>
      </c>
      <c r="H6" s="3" t="s">
        <v>21</v>
      </c>
    </row>
    <row r="7" spans="1:8" ht="27">
      <c r="A7" s="2" t="s">
        <v>10</v>
      </c>
      <c r="B7" s="2" t="s">
        <v>22</v>
      </c>
      <c r="C7" s="2" t="s">
        <v>23</v>
      </c>
      <c r="D7" s="2" t="s">
        <v>24</v>
      </c>
      <c r="E7" s="2" t="s">
        <v>25</v>
      </c>
      <c r="F7" s="2" t="s">
        <v>15</v>
      </c>
      <c r="G7" s="2" t="s">
        <v>16</v>
      </c>
      <c r="H7" s="2" t="s">
        <v>26</v>
      </c>
    </row>
    <row r="8" spans="1:8" ht="40.5">
      <c r="A8" s="3" t="s">
        <v>10</v>
      </c>
      <c r="B8" s="3" t="s">
        <v>22</v>
      </c>
      <c r="C8" s="3" t="s">
        <v>27</v>
      </c>
      <c r="D8" s="3" t="s">
        <v>28</v>
      </c>
      <c r="E8" s="3" t="s">
        <v>29</v>
      </c>
      <c r="F8" s="3" t="s">
        <v>15</v>
      </c>
      <c r="G8" s="3" t="s">
        <v>16</v>
      </c>
      <c r="H8" s="3" t="s">
        <v>30</v>
      </c>
    </row>
    <row r="9" spans="1:8" ht="40.5">
      <c r="A9" s="2" t="s">
        <v>10</v>
      </c>
      <c r="B9" s="2" t="s">
        <v>22</v>
      </c>
      <c r="C9" s="2" t="s">
        <v>31</v>
      </c>
      <c r="D9" s="2" t="s">
        <v>32</v>
      </c>
      <c r="E9" s="2" t="s">
        <v>33</v>
      </c>
      <c r="F9" s="2" t="s">
        <v>15</v>
      </c>
      <c r="G9" s="2" t="s">
        <v>16</v>
      </c>
      <c r="H9" s="2" t="s">
        <v>34</v>
      </c>
    </row>
    <row r="10" spans="1:8" ht="27">
      <c r="A10" s="3" t="s">
        <v>10</v>
      </c>
      <c r="B10" s="3" t="s">
        <v>22</v>
      </c>
      <c r="C10" s="3" t="s">
        <v>35</v>
      </c>
      <c r="D10" s="3" t="s">
        <v>36</v>
      </c>
      <c r="E10" s="3" t="s">
        <v>37</v>
      </c>
      <c r="F10" s="3" t="s">
        <v>15</v>
      </c>
      <c r="G10" s="3" t="s">
        <v>16</v>
      </c>
      <c r="H10" s="3" t="s">
        <v>38</v>
      </c>
    </row>
    <row r="11" spans="1:8" ht="27">
      <c r="A11" s="2" t="s">
        <v>10</v>
      </c>
      <c r="B11" s="2" t="s">
        <v>39</v>
      </c>
      <c r="C11" s="2" t="s">
        <v>40</v>
      </c>
      <c r="D11" s="2" t="s">
        <v>41</v>
      </c>
      <c r="E11" s="2" t="s">
        <v>42</v>
      </c>
      <c r="F11" s="2" t="s">
        <v>15</v>
      </c>
      <c r="G11" s="2" t="s">
        <v>43</v>
      </c>
      <c r="H11" s="2" t="s">
        <v>44</v>
      </c>
    </row>
    <row r="12" spans="1:8" ht="27">
      <c r="A12" s="3" t="s">
        <v>10</v>
      </c>
      <c r="B12" s="3" t="s">
        <v>39</v>
      </c>
      <c r="C12" s="3" t="s">
        <v>45</v>
      </c>
      <c r="D12" s="3" t="s">
        <v>46</v>
      </c>
      <c r="E12" s="3" t="s">
        <v>47</v>
      </c>
      <c r="F12" s="3" t="s">
        <v>15</v>
      </c>
      <c r="G12" s="3" t="s">
        <v>16</v>
      </c>
      <c r="H12" s="3" t="s">
        <v>48</v>
      </c>
    </row>
    <row r="13" spans="1:8" ht="27">
      <c r="A13" s="2" t="s">
        <v>10</v>
      </c>
      <c r="B13" s="2" t="s">
        <v>39</v>
      </c>
      <c r="C13" s="2" t="s">
        <v>49</v>
      </c>
      <c r="D13" s="2" t="s">
        <v>50</v>
      </c>
      <c r="E13" s="2" t="s">
        <v>51</v>
      </c>
      <c r="F13" s="2" t="s">
        <v>16</v>
      </c>
      <c r="G13" s="2" t="s">
        <v>16</v>
      </c>
      <c r="H13" s="2" t="s">
        <v>52</v>
      </c>
    </row>
    <row r="14" spans="1:8" ht="27">
      <c r="A14" s="3" t="s">
        <v>53</v>
      </c>
      <c r="B14" s="3" t="s">
        <v>54</v>
      </c>
      <c r="C14" s="3" t="s">
        <v>55</v>
      </c>
      <c r="D14" s="3" t="s">
        <v>56</v>
      </c>
      <c r="E14" s="3" t="s">
        <v>57</v>
      </c>
      <c r="F14" s="3" t="s">
        <v>15</v>
      </c>
      <c r="G14" s="3" t="s">
        <v>16</v>
      </c>
      <c r="H14" s="3" t="s">
        <v>58</v>
      </c>
    </row>
    <row r="15" spans="1:8" ht="27">
      <c r="A15" s="2" t="s">
        <v>53</v>
      </c>
      <c r="B15" s="2" t="s">
        <v>54</v>
      </c>
      <c r="C15" s="2" t="s">
        <v>59</v>
      </c>
      <c r="D15" s="2" t="s">
        <v>60</v>
      </c>
      <c r="E15" s="2" t="s">
        <v>61</v>
      </c>
      <c r="F15" s="2" t="s">
        <v>15</v>
      </c>
      <c r="G15" s="2" t="s">
        <v>16</v>
      </c>
      <c r="H15" s="2" t="s">
        <v>62</v>
      </c>
    </row>
    <row r="16" spans="1:8" ht="27">
      <c r="A16" s="3" t="s">
        <v>53</v>
      </c>
      <c r="B16" s="3" t="s">
        <v>54</v>
      </c>
      <c r="C16" s="3" t="s">
        <v>63</v>
      </c>
      <c r="D16" s="3" t="s">
        <v>64</v>
      </c>
      <c r="E16" s="3" t="s">
        <v>65</v>
      </c>
      <c r="F16" s="3" t="s">
        <v>15</v>
      </c>
      <c r="G16" s="3" t="s">
        <v>15</v>
      </c>
      <c r="H16" s="3" t="s">
        <v>66</v>
      </c>
    </row>
    <row r="17" spans="1:8" ht="40.5">
      <c r="A17" s="2" t="s">
        <v>53</v>
      </c>
      <c r="B17" s="2" t="s">
        <v>67</v>
      </c>
      <c r="C17" s="2" t="s">
        <v>68</v>
      </c>
      <c r="D17" s="2" t="s">
        <v>69</v>
      </c>
      <c r="E17" s="2" t="s">
        <v>70</v>
      </c>
      <c r="F17" s="2" t="s">
        <v>15</v>
      </c>
      <c r="G17" s="2" t="s">
        <v>16</v>
      </c>
      <c r="H17" s="2" t="s">
        <v>71</v>
      </c>
    </row>
    <row r="18" spans="1:8" ht="27">
      <c r="A18" s="3" t="s">
        <v>53</v>
      </c>
      <c r="B18" s="3" t="s">
        <v>67</v>
      </c>
      <c r="C18" s="3" t="s">
        <v>72</v>
      </c>
      <c r="D18" s="3" t="s">
        <v>73</v>
      </c>
      <c r="E18" s="3" t="s">
        <v>74</v>
      </c>
      <c r="F18" s="3" t="s">
        <v>16</v>
      </c>
      <c r="G18" s="3" t="s">
        <v>43</v>
      </c>
      <c r="H18" s="3" t="s">
        <v>71</v>
      </c>
    </row>
    <row r="19" spans="1:8" ht="27">
      <c r="A19" s="2" t="s">
        <v>53</v>
      </c>
      <c r="B19" s="2" t="s">
        <v>75</v>
      </c>
      <c r="C19" s="2" t="s">
        <v>76</v>
      </c>
      <c r="D19" s="2" t="s">
        <v>77</v>
      </c>
      <c r="E19" s="2" t="s">
        <v>78</v>
      </c>
      <c r="F19" s="2" t="s">
        <v>15</v>
      </c>
      <c r="G19" s="2" t="s">
        <v>15</v>
      </c>
      <c r="H19" s="2" t="s">
        <v>79</v>
      </c>
    </row>
    <row r="20" spans="1:8" ht="27">
      <c r="A20" s="3" t="s">
        <v>53</v>
      </c>
      <c r="B20" s="3" t="s">
        <v>75</v>
      </c>
      <c r="C20" s="3" t="s">
        <v>80</v>
      </c>
      <c r="D20" s="3" t="s">
        <v>81</v>
      </c>
      <c r="E20" s="3" t="s">
        <v>82</v>
      </c>
      <c r="F20" s="3" t="s">
        <v>15</v>
      </c>
      <c r="G20" s="3" t="s">
        <v>15</v>
      </c>
      <c r="H20" s="3" t="s">
        <v>83</v>
      </c>
    </row>
    <row r="21" spans="1:8" ht="15.75" customHeight="1">
      <c r="A21" s="2" t="s">
        <v>53</v>
      </c>
      <c r="B21" s="2" t="s">
        <v>75</v>
      </c>
      <c r="C21" s="2" t="s">
        <v>84</v>
      </c>
      <c r="D21" s="2" t="s">
        <v>85</v>
      </c>
      <c r="E21" s="2" t="s">
        <v>86</v>
      </c>
      <c r="F21" s="2" t="s">
        <v>15</v>
      </c>
      <c r="G21" s="2" t="s">
        <v>16</v>
      </c>
      <c r="H21" s="2" t="s">
        <v>87</v>
      </c>
    </row>
    <row r="22" spans="1:8" ht="15.75" customHeight="1">
      <c r="A22" s="3" t="s">
        <v>53</v>
      </c>
      <c r="B22" s="3" t="s">
        <v>88</v>
      </c>
      <c r="C22" s="3" t="s">
        <v>89</v>
      </c>
      <c r="D22" s="3" t="s">
        <v>90</v>
      </c>
      <c r="E22" s="3" t="s">
        <v>91</v>
      </c>
      <c r="F22" s="3" t="s">
        <v>15</v>
      </c>
      <c r="G22" s="3" t="s">
        <v>15</v>
      </c>
      <c r="H22" s="3" t="s">
        <v>92</v>
      </c>
    </row>
    <row r="23" spans="1:8" ht="15.75" customHeight="1">
      <c r="A23" s="2" t="s">
        <v>53</v>
      </c>
      <c r="B23" s="2" t="s">
        <v>88</v>
      </c>
      <c r="C23" s="2" t="s">
        <v>93</v>
      </c>
      <c r="D23" s="2" t="s">
        <v>94</v>
      </c>
      <c r="E23" s="2" t="s">
        <v>95</v>
      </c>
      <c r="F23" s="2" t="s">
        <v>15</v>
      </c>
      <c r="G23" s="2" t="s">
        <v>16</v>
      </c>
      <c r="H23" s="2" t="s">
        <v>96</v>
      </c>
    </row>
    <row r="24" spans="1:8" ht="15.75" customHeight="1">
      <c r="A24" s="3" t="s">
        <v>53</v>
      </c>
      <c r="B24" s="3" t="s">
        <v>88</v>
      </c>
      <c r="C24" s="3" t="s">
        <v>97</v>
      </c>
      <c r="D24" s="3" t="s">
        <v>98</v>
      </c>
      <c r="E24" s="3" t="s">
        <v>99</v>
      </c>
      <c r="F24" s="3" t="s">
        <v>15</v>
      </c>
      <c r="G24" s="3" t="s">
        <v>16</v>
      </c>
      <c r="H24" s="3" t="s">
        <v>100</v>
      </c>
    </row>
    <row r="25" spans="1:8" ht="15.75" customHeight="1">
      <c r="A25" s="2" t="s">
        <v>53</v>
      </c>
      <c r="B25" s="2" t="s">
        <v>88</v>
      </c>
      <c r="C25" s="2" t="s">
        <v>101</v>
      </c>
      <c r="D25" s="2" t="s">
        <v>102</v>
      </c>
      <c r="E25" s="2" t="s">
        <v>103</v>
      </c>
      <c r="F25" s="2" t="s">
        <v>16</v>
      </c>
      <c r="G25" s="2" t="s">
        <v>16</v>
      </c>
      <c r="H25" s="2" t="s">
        <v>104</v>
      </c>
    </row>
    <row r="26" spans="1:8" ht="15.75" customHeight="1">
      <c r="A26" s="3" t="s">
        <v>53</v>
      </c>
      <c r="B26" s="3" t="s">
        <v>105</v>
      </c>
      <c r="C26" s="3" t="s">
        <v>106</v>
      </c>
      <c r="D26" s="3" t="s">
        <v>107</v>
      </c>
      <c r="E26" s="3" t="s">
        <v>108</v>
      </c>
      <c r="F26" s="3" t="s">
        <v>15</v>
      </c>
      <c r="G26" s="3" t="s">
        <v>15</v>
      </c>
      <c r="H26" s="3" t="s">
        <v>109</v>
      </c>
    </row>
    <row r="27" spans="1:8" ht="15.75" customHeight="1">
      <c r="A27" s="2" t="s">
        <v>53</v>
      </c>
      <c r="B27" s="2" t="s">
        <v>105</v>
      </c>
      <c r="C27" s="2" t="s">
        <v>110</v>
      </c>
      <c r="D27" s="2" t="s">
        <v>111</v>
      </c>
      <c r="E27" s="2" t="s">
        <v>112</v>
      </c>
      <c r="F27" s="2" t="s">
        <v>15</v>
      </c>
      <c r="G27" s="2" t="s">
        <v>15</v>
      </c>
      <c r="H27" s="2" t="s">
        <v>113</v>
      </c>
    </row>
    <row r="28" spans="1:8" ht="15.75" customHeight="1">
      <c r="A28" s="3" t="s">
        <v>53</v>
      </c>
      <c r="B28" s="3" t="s">
        <v>105</v>
      </c>
      <c r="C28" s="3" t="s">
        <v>114</v>
      </c>
      <c r="D28" s="3" t="s">
        <v>115</v>
      </c>
      <c r="E28" s="3" t="s">
        <v>116</v>
      </c>
      <c r="F28" s="3" t="s">
        <v>15</v>
      </c>
      <c r="G28" s="3" t="s">
        <v>16</v>
      </c>
      <c r="H28" s="3" t="s">
        <v>117</v>
      </c>
    </row>
    <row r="29" spans="1:8" ht="15.75" customHeight="1">
      <c r="A29" s="2" t="s">
        <v>53</v>
      </c>
      <c r="B29" s="2" t="s">
        <v>105</v>
      </c>
      <c r="C29" s="2" t="s">
        <v>118</v>
      </c>
      <c r="D29" s="2" t="s">
        <v>119</v>
      </c>
      <c r="E29" s="2" t="s">
        <v>120</v>
      </c>
      <c r="F29" s="2" t="s">
        <v>15</v>
      </c>
      <c r="G29" s="2" t="s">
        <v>16</v>
      </c>
      <c r="H29" s="2" t="s">
        <v>121</v>
      </c>
    </row>
    <row r="30" spans="1:8" ht="15.75" customHeight="1">
      <c r="A30" s="3" t="s">
        <v>122</v>
      </c>
      <c r="B30" s="3" t="s">
        <v>123</v>
      </c>
      <c r="C30" s="3" t="s">
        <v>124</v>
      </c>
      <c r="D30" s="3" t="s">
        <v>125</v>
      </c>
      <c r="E30" s="3" t="s">
        <v>126</v>
      </c>
      <c r="F30" s="3" t="s">
        <v>15</v>
      </c>
      <c r="G30" s="3" t="s">
        <v>16</v>
      </c>
      <c r="H30" s="3" t="s">
        <v>127</v>
      </c>
    </row>
    <row r="31" spans="1:8" ht="15.75" customHeight="1">
      <c r="A31" s="2" t="s">
        <v>122</v>
      </c>
      <c r="B31" s="2" t="s">
        <v>123</v>
      </c>
      <c r="C31" s="2" t="s">
        <v>128</v>
      </c>
      <c r="D31" s="2" t="s">
        <v>129</v>
      </c>
      <c r="E31" s="2" t="s">
        <v>130</v>
      </c>
      <c r="F31" s="2" t="s">
        <v>16</v>
      </c>
      <c r="G31" s="2" t="s">
        <v>16</v>
      </c>
      <c r="H31" s="2" t="s">
        <v>131</v>
      </c>
    </row>
    <row r="32" spans="1:8" ht="15.75" customHeight="1">
      <c r="A32" s="3" t="s">
        <v>122</v>
      </c>
      <c r="B32" s="3" t="s">
        <v>123</v>
      </c>
      <c r="C32" s="3" t="s">
        <v>132</v>
      </c>
      <c r="D32" s="3" t="s">
        <v>133</v>
      </c>
      <c r="E32" s="3" t="s">
        <v>134</v>
      </c>
      <c r="F32" s="3" t="s">
        <v>15</v>
      </c>
      <c r="G32" s="3" t="s">
        <v>16</v>
      </c>
      <c r="H32" s="3" t="s">
        <v>135</v>
      </c>
    </row>
    <row r="33" spans="1:8" ht="15.75" customHeight="1">
      <c r="A33" s="2" t="s">
        <v>122</v>
      </c>
      <c r="B33" s="2" t="s">
        <v>136</v>
      </c>
      <c r="C33" s="2" t="s">
        <v>137</v>
      </c>
      <c r="D33" s="2" t="s">
        <v>138</v>
      </c>
      <c r="E33" s="2" t="s">
        <v>139</v>
      </c>
      <c r="F33" s="2" t="s">
        <v>16</v>
      </c>
      <c r="G33" s="2" t="s">
        <v>16</v>
      </c>
      <c r="H33" s="2" t="s">
        <v>140</v>
      </c>
    </row>
    <row r="34" spans="1:8" ht="15.75" customHeight="1">
      <c r="A34" s="3" t="s">
        <v>122</v>
      </c>
      <c r="B34" s="3" t="s">
        <v>136</v>
      </c>
      <c r="C34" s="3" t="s">
        <v>141</v>
      </c>
      <c r="D34" s="3" t="s">
        <v>142</v>
      </c>
      <c r="E34" s="3" t="s">
        <v>143</v>
      </c>
      <c r="F34" s="3" t="s">
        <v>16</v>
      </c>
      <c r="G34" s="3" t="s">
        <v>16</v>
      </c>
      <c r="H34" s="3" t="s">
        <v>144</v>
      </c>
    </row>
    <row r="35" spans="1:8" ht="15.75" customHeight="1">
      <c r="A35" s="2" t="s">
        <v>145</v>
      </c>
      <c r="B35" s="2" t="s">
        <v>146</v>
      </c>
      <c r="C35" s="2" t="s">
        <v>147</v>
      </c>
      <c r="D35" s="2" t="s">
        <v>148</v>
      </c>
      <c r="E35" s="2" t="s">
        <v>149</v>
      </c>
      <c r="F35" s="2" t="s">
        <v>15</v>
      </c>
      <c r="G35" s="2" t="s">
        <v>16</v>
      </c>
      <c r="H35" s="2" t="s">
        <v>150</v>
      </c>
    </row>
    <row r="36" spans="1:8" ht="15.75" customHeight="1">
      <c r="A36" s="3" t="s">
        <v>145</v>
      </c>
      <c r="B36" s="3" t="s">
        <v>146</v>
      </c>
      <c r="C36" s="3" t="s">
        <v>151</v>
      </c>
      <c r="D36" s="3" t="s">
        <v>152</v>
      </c>
      <c r="E36" s="3" t="s">
        <v>153</v>
      </c>
      <c r="F36" s="3" t="s">
        <v>15</v>
      </c>
      <c r="G36" s="3" t="s">
        <v>16</v>
      </c>
      <c r="H36" s="3" t="s">
        <v>154</v>
      </c>
    </row>
    <row r="37" spans="1:8" ht="15.75" customHeight="1">
      <c r="A37" s="2" t="s">
        <v>145</v>
      </c>
      <c r="B37" s="2" t="s">
        <v>146</v>
      </c>
      <c r="C37" s="2" t="s">
        <v>155</v>
      </c>
      <c r="D37" s="2" t="s">
        <v>156</v>
      </c>
      <c r="E37" s="2" t="s">
        <v>157</v>
      </c>
      <c r="F37" s="2" t="s">
        <v>16</v>
      </c>
      <c r="G37" s="2" t="s">
        <v>16</v>
      </c>
      <c r="H37" s="2" t="s">
        <v>158</v>
      </c>
    </row>
    <row r="38" spans="1:8" ht="15.75" customHeight="1">
      <c r="A38" s="3" t="s">
        <v>145</v>
      </c>
      <c r="B38" s="3" t="s">
        <v>146</v>
      </c>
      <c r="C38" s="3" t="s">
        <v>159</v>
      </c>
      <c r="D38" s="3" t="s">
        <v>160</v>
      </c>
      <c r="E38" s="3" t="s">
        <v>161</v>
      </c>
      <c r="F38" s="3" t="s">
        <v>15</v>
      </c>
      <c r="G38" s="3" t="s">
        <v>16</v>
      </c>
      <c r="H38" s="3" t="s">
        <v>162</v>
      </c>
    </row>
    <row r="39" spans="1:8" ht="15.75" customHeight="1">
      <c r="A39" s="2" t="s">
        <v>145</v>
      </c>
      <c r="B39" s="2" t="s">
        <v>146</v>
      </c>
      <c r="C39" s="2" t="s">
        <v>163</v>
      </c>
      <c r="D39" s="2" t="s">
        <v>164</v>
      </c>
      <c r="E39" s="2" t="s">
        <v>165</v>
      </c>
      <c r="F39" s="2" t="s">
        <v>16</v>
      </c>
      <c r="G39" s="2" t="s">
        <v>43</v>
      </c>
      <c r="H39" s="2" t="s">
        <v>166</v>
      </c>
    </row>
    <row r="40" spans="1:8" ht="15.75" customHeight="1"/>
    <row r="41" spans="1:8" ht="15.75" customHeight="1"/>
    <row r="42" spans="1:8" ht="15.75" customHeight="1"/>
    <row r="43" spans="1:8" ht="15.75" customHeight="1"/>
    <row r="44" spans="1:8" ht="15.75" customHeight="1"/>
    <row r="45" spans="1:8" ht="15.75" customHeight="1"/>
    <row r="46" spans="1:8" ht="15.75" customHeight="1"/>
    <row r="47" spans="1:8" ht="15.75" customHeight="1"/>
    <row r="48" spans="1: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H1"/>
    <mergeCell ref="A2:H2"/>
  </mergeCells>
  <phoneticPr fontId="10" type="noConversion"/>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00"/>
  <sheetViews>
    <sheetView showGridLines="0" workbookViewId="0"/>
  </sheetViews>
  <sheetFormatPr defaultColWidth="14.42578125" defaultRowHeight="15" customHeight="1"/>
  <cols>
    <col min="1" max="1" width="8.7109375" customWidth="1"/>
    <col min="2" max="2" width="19.7109375" customWidth="1"/>
    <col min="3" max="3" width="28.5703125" customWidth="1"/>
    <col min="4" max="4" width="26" customWidth="1"/>
    <col min="5" max="5" width="33.85546875" customWidth="1"/>
    <col min="6" max="6" width="87.5703125" customWidth="1"/>
    <col min="7" max="7" width="28.28515625" customWidth="1"/>
    <col min="8" max="8" width="41.28515625" customWidth="1"/>
    <col min="9" max="9" width="31.7109375" customWidth="1"/>
    <col min="10" max="10" width="11.85546875" customWidth="1"/>
    <col min="11" max="11" width="23.85546875" customWidth="1"/>
    <col min="12" max="12" width="19.7109375" customWidth="1"/>
    <col min="13" max="26" width="8.7109375" customWidth="1"/>
  </cols>
  <sheetData>
    <row r="1" spans="1:12" ht="24" customHeight="1">
      <c r="A1" s="25" t="s">
        <v>167</v>
      </c>
      <c r="B1" s="26"/>
      <c r="C1" s="26"/>
      <c r="D1" s="26"/>
      <c r="E1" s="26"/>
      <c r="F1" s="26"/>
      <c r="G1" s="26"/>
      <c r="H1" s="26"/>
      <c r="I1" s="26"/>
      <c r="J1" s="26"/>
      <c r="K1" s="26"/>
      <c r="L1" s="27"/>
    </row>
    <row r="2" spans="1:12" ht="24" customHeight="1">
      <c r="A2" s="28" t="s">
        <v>168</v>
      </c>
      <c r="B2" s="26"/>
      <c r="C2" s="26"/>
      <c r="D2" s="26"/>
      <c r="E2" s="26"/>
      <c r="F2" s="26"/>
      <c r="G2" s="26"/>
      <c r="H2" s="26"/>
      <c r="I2" s="26"/>
      <c r="J2" s="26"/>
      <c r="K2" s="26"/>
      <c r="L2" s="27"/>
    </row>
    <row r="3" spans="1:12" ht="7.5" customHeight="1"/>
    <row r="4" spans="1:12" ht="30" customHeight="1">
      <c r="A4" s="1" t="s">
        <v>169</v>
      </c>
      <c r="B4" s="1" t="s">
        <v>170</v>
      </c>
      <c r="C4" s="1" t="s">
        <v>171</v>
      </c>
      <c r="D4" s="1" t="s">
        <v>172</v>
      </c>
      <c r="E4" s="1" t="s">
        <v>173</v>
      </c>
      <c r="F4" s="1" t="s">
        <v>174</v>
      </c>
      <c r="G4" s="1" t="s">
        <v>175</v>
      </c>
      <c r="H4" s="1" t="s">
        <v>176</v>
      </c>
      <c r="I4" s="1" t="s">
        <v>177</v>
      </c>
      <c r="J4" s="1" t="s">
        <v>178</v>
      </c>
      <c r="K4" s="1" t="s">
        <v>179</v>
      </c>
      <c r="L4" s="1" t="s">
        <v>9</v>
      </c>
    </row>
    <row r="5" spans="1:12" ht="45.75" customHeight="1">
      <c r="A5" s="2" t="s">
        <v>180</v>
      </c>
      <c r="B5" s="2" t="s">
        <v>181</v>
      </c>
      <c r="C5" s="2" t="s">
        <v>182</v>
      </c>
      <c r="D5" s="2" t="s">
        <v>183</v>
      </c>
      <c r="E5" s="2" t="s">
        <v>184</v>
      </c>
      <c r="F5" s="2" t="s">
        <v>185</v>
      </c>
      <c r="G5" s="2" t="s">
        <v>186</v>
      </c>
      <c r="H5" s="2" t="s">
        <v>187</v>
      </c>
      <c r="I5" s="2" t="s">
        <v>188</v>
      </c>
      <c r="J5" s="2" t="s">
        <v>189</v>
      </c>
      <c r="K5" s="2" t="s">
        <v>190</v>
      </c>
      <c r="L5" s="2" t="s">
        <v>191</v>
      </c>
    </row>
    <row r="6" spans="1:12" ht="45.75" customHeight="1">
      <c r="A6" s="3" t="s">
        <v>192</v>
      </c>
      <c r="B6" s="3" t="s">
        <v>193</v>
      </c>
      <c r="C6" s="3" t="s">
        <v>194</v>
      </c>
      <c r="D6" s="3" t="s">
        <v>195</v>
      </c>
      <c r="E6" s="3" t="s">
        <v>196</v>
      </c>
      <c r="F6" s="3" t="s">
        <v>197</v>
      </c>
      <c r="G6" s="3" t="s">
        <v>198</v>
      </c>
      <c r="H6" s="3" t="s">
        <v>199</v>
      </c>
      <c r="I6" s="3" t="s">
        <v>200</v>
      </c>
      <c r="J6" s="3" t="s">
        <v>201</v>
      </c>
      <c r="K6" s="3" t="s">
        <v>202</v>
      </c>
      <c r="L6" s="3" t="s">
        <v>203</v>
      </c>
    </row>
    <row r="7" spans="1:12" ht="45.75" customHeight="1">
      <c r="A7" s="2" t="s">
        <v>204</v>
      </c>
      <c r="B7" s="2" t="s">
        <v>205</v>
      </c>
      <c r="C7" s="2" t="s">
        <v>206</v>
      </c>
      <c r="D7" s="2" t="s">
        <v>207</v>
      </c>
      <c r="E7" s="2" t="s">
        <v>208</v>
      </c>
      <c r="F7" s="2" t="s">
        <v>209</v>
      </c>
      <c r="G7" s="2" t="s">
        <v>210</v>
      </c>
      <c r="H7" s="2" t="s">
        <v>211</v>
      </c>
      <c r="I7" s="2" t="s">
        <v>212</v>
      </c>
      <c r="J7" s="2" t="s">
        <v>201</v>
      </c>
      <c r="K7" s="2" t="s">
        <v>213</v>
      </c>
      <c r="L7" s="2" t="s">
        <v>214</v>
      </c>
    </row>
    <row r="8" spans="1:12" ht="60" customHeight="1">
      <c r="A8" s="3" t="s">
        <v>215</v>
      </c>
      <c r="B8" s="3" t="s">
        <v>216</v>
      </c>
      <c r="C8" s="3" t="s">
        <v>217</v>
      </c>
      <c r="D8" s="3" t="s">
        <v>218</v>
      </c>
      <c r="E8" s="3" t="s">
        <v>219</v>
      </c>
      <c r="F8" s="3" t="s">
        <v>220</v>
      </c>
      <c r="G8" s="3" t="s">
        <v>221</v>
      </c>
      <c r="H8" s="3" t="s">
        <v>222</v>
      </c>
      <c r="I8" s="3" t="s">
        <v>223</v>
      </c>
      <c r="J8" s="3" t="s">
        <v>201</v>
      </c>
      <c r="K8" s="3" t="s">
        <v>224</v>
      </c>
      <c r="L8" s="3" t="s">
        <v>225</v>
      </c>
    </row>
    <row r="9" spans="1:12" ht="60" customHeight="1">
      <c r="A9" s="2" t="s">
        <v>226</v>
      </c>
      <c r="B9" s="2" t="s">
        <v>227</v>
      </c>
      <c r="C9" s="2" t="s">
        <v>228</v>
      </c>
      <c r="D9" s="2" t="s">
        <v>229</v>
      </c>
      <c r="E9" s="2" t="s">
        <v>230</v>
      </c>
      <c r="F9" s="2" t="s">
        <v>231</v>
      </c>
      <c r="G9" s="2" t="s">
        <v>232</v>
      </c>
      <c r="H9" s="2" t="s">
        <v>233</v>
      </c>
      <c r="I9" s="2" t="s">
        <v>234</v>
      </c>
      <c r="J9" s="2" t="s">
        <v>201</v>
      </c>
      <c r="K9" s="2" t="s">
        <v>235</v>
      </c>
      <c r="L9" s="2" t="s">
        <v>236</v>
      </c>
    </row>
    <row r="10" spans="1:12" ht="45.75" customHeight="1">
      <c r="A10" s="3" t="s">
        <v>237</v>
      </c>
      <c r="B10" s="3" t="s">
        <v>238</v>
      </c>
      <c r="C10" s="3" t="s">
        <v>239</v>
      </c>
      <c r="D10" s="3" t="s">
        <v>240</v>
      </c>
      <c r="E10" s="3" t="s">
        <v>241</v>
      </c>
      <c r="F10" s="3" t="s">
        <v>242</v>
      </c>
      <c r="G10" s="3" t="s">
        <v>243</v>
      </c>
      <c r="H10" s="3" t="s">
        <v>244</v>
      </c>
      <c r="I10" s="3" t="s">
        <v>245</v>
      </c>
      <c r="J10" s="3" t="s">
        <v>246</v>
      </c>
      <c r="K10" s="3" t="s">
        <v>247</v>
      </c>
      <c r="L10" s="3" t="s">
        <v>248</v>
      </c>
    </row>
    <row r="11" spans="1:12" ht="45.75" customHeight="1">
      <c r="A11" s="2" t="s">
        <v>249</v>
      </c>
      <c r="B11" s="2" t="s">
        <v>250</v>
      </c>
      <c r="C11" s="2" t="s">
        <v>251</v>
      </c>
      <c r="D11" s="2" t="s">
        <v>252</v>
      </c>
      <c r="E11" s="2" t="s">
        <v>253</v>
      </c>
      <c r="F11" s="2" t="s">
        <v>254</v>
      </c>
      <c r="G11" s="2" t="s">
        <v>255</v>
      </c>
      <c r="H11" s="2" t="s">
        <v>256</v>
      </c>
      <c r="I11" s="2" t="s">
        <v>257</v>
      </c>
      <c r="J11" s="2" t="s">
        <v>258</v>
      </c>
      <c r="K11" s="2" t="s">
        <v>213</v>
      </c>
      <c r="L11" s="2" t="s">
        <v>259</v>
      </c>
    </row>
    <row r="12" spans="1:12" ht="45.75" customHeight="1">
      <c r="A12" s="3" t="s">
        <v>260</v>
      </c>
      <c r="B12" s="3" t="s">
        <v>261</v>
      </c>
      <c r="C12" s="3" t="s">
        <v>262</v>
      </c>
      <c r="D12" s="3" t="s">
        <v>263</v>
      </c>
      <c r="E12" s="3" t="s">
        <v>264</v>
      </c>
      <c r="F12" s="3" t="s">
        <v>265</v>
      </c>
      <c r="G12" s="3" t="s">
        <v>266</v>
      </c>
      <c r="H12" s="3" t="s">
        <v>267</v>
      </c>
      <c r="I12" s="3" t="s">
        <v>268</v>
      </c>
      <c r="J12" s="3" t="s">
        <v>269</v>
      </c>
      <c r="K12" s="3" t="s">
        <v>213</v>
      </c>
      <c r="L12" s="3" t="s">
        <v>270</v>
      </c>
    </row>
    <row r="13" spans="1:12" ht="60" customHeight="1">
      <c r="A13" s="2" t="s">
        <v>271</v>
      </c>
      <c r="B13" s="2" t="s">
        <v>272</v>
      </c>
      <c r="C13" s="2" t="s">
        <v>273</v>
      </c>
      <c r="D13" s="2" t="s">
        <v>274</v>
      </c>
      <c r="E13" s="2" t="s">
        <v>275</v>
      </c>
      <c r="F13" s="2" t="s">
        <v>276</v>
      </c>
      <c r="G13" s="2" t="s">
        <v>277</v>
      </c>
      <c r="H13" s="2" t="s">
        <v>278</v>
      </c>
      <c r="I13" s="2" t="s">
        <v>279</v>
      </c>
      <c r="J13" s="2" t="s">
        <v>162</v>
      </c>
      <c r="K13" s="2" t="s">
        <v>280</v>
      </c>
      <c r="L13" s="2" t="s">
        <v>281</v>
      </c>
    </row>
    <row r="14" spans="1:12" ht="45.75" customHeight="1">
      <c r="A14" s="3" t="s">
        <v>282</v>
      </c>
      <c r="B14" s="3" t="s">
        <v>283</v>
      </c>
      <c r="C14" s="3" t="s">
        <v>284</v>
      </c>
      <c r="D14" s="3" t="s">
        <v>285</v>
      </c>
      <c r="E14" s="3" t="s">
        <v>286</v>
      </c>
      <c r="F14" s="3" t="s">
        <v>287</v>
      </c>
      <c r="G14" s="3" t="s">
        <v>288</v>
      </c>
      <c r="H14" s="3" t="s">
        <v>289</v>
      </c>
      <c r="I14" s="3" t="s">
        <v>290</v>
      </c>
      <c r="J14" s="3" t="s">
        <v>162</v>
      </c>
      <c r="K14" s="3" t="s">
        <v>291</v>
      </c>
      <c r="L14" s="3" t="s">
        <v>292</v>
      </c>
    </row>
    <row r="15" spans="1:12" ht="45.75" customHeight="1">
      <c r="A15" s="2" t="s">
        <v>293</v>
      </c>
      <c r="B15" s="2" t="s">
        <v>294</v>
      </c>
      <c r="C15" s="2" t="s">
        <v>295</v>
      </c>
      <c r="D15" s="2" t="s">
        <v>296</v>
      </c>
      <c r="E15" s="2" t="s">
        <v>297</v>
      </c>
      <c r="F15" s="2" t="s">
        <v>298</v>
      </c>
      <c r="G15" s="2" t="s">
        <v>299</v>
      </c>
      <c r="H15" s="2" t="s">
        <v>300</v>
      </c>
      <c r="I15" s="2" t="s">
        <v>301</v>
      </c>
      <c r="J15" s="2" t="s">
        <v>302</v>
      </c>
      <c r="K15" s="2" t="s">
        <v>303</v>
      </c>
      <c r="L15" s="2" t="s">
        <v>304</v>
      </c>
    </row>
    <row r="16" spans="1:12" ht="31.5" customHeight="1">
      <c r="A16" s="3" t="s">
        <v>305</v>
      </c>
      <c r="B16" s="3" t="s">
        <v>306</v>
      </c>
      <c r="C16" s="3" t="s">
        <v>307</v>
      </c>
      <c r="D16" s="3" t="s">
        <v>308</v>
      </c>
      <c r="E16" s="3" t="s">
        <v>309</v>
      </c>
      <c r="F16" s="3" t="s">
        <v>310</v>
      </c>
      <c r="G16" s="3" t="s">
        <v>311</v>
      </c>
      <c r="H16" s="3" t="s">
        <v>312</v>
      </c>
      <c r="I16" s="3" t="s">
        <v>313</v>
      </c>
      <c r="J16" s="3" t="s">
        <v>302</v>
      </c>
      <c r="K16" s="3" t="s">
        <v>314</v>
      </c>
      <c r="L16" s="3" t="s">
        <v>315</v>
      </c>
    </row>
    <row r="17" spans="1:12" ht="31.5" customHeight="1">
      <c r="A17" s="2" t="s">
        <v>316</v>
      </c>
      <c r="B17" s="2" t="s">
        <v>317</v>
      </c>
      <c r="C17" s="2" t="s">
        <v>318</v>
      </c>
      <c r="D17" s="2" t="s">
        <v>319</v>
      </c>
      <c r="E17" s="2" t="s">
        <v>320</v>
      </c>
      <c r="F17" s="2" t="s">
        <v>321</v>
      </c>
      <c r="G17" s="2" t="s">
        <v>322</v>
      </c>
      <c r="H17" s="2" t="s">
        <v>323</v>
      </c>
      <c r="I17" s="2" t="s">
        <v>324</v>
      </c>
      <c r="J17" s="2" t="s">
        <v>325</v>
      </c>
      <c r="K17" s="2" t="s">
        <v>326</v>
      </c>
      <c r="L17" s="2" t="s">
        <v>327</v>
      </c>
    </row>
    <row r="18" spans="1:12" ht="31.5" customHeight="1">
      <c r="A18" s="3" t="s">
        <v>328</v>
      </c>
      <c r="B18" s="3" t="s">
        <v>329</v>
      </c>
      <c r="C18" s="3" t="s">
        <v>330</v>
      </c>
      <c r="D18" s="3" t="s">
        <v>331</v>
      </c>
      <c r="E18" s="3" t="s">
        <v>332</v>
      </c>
      <c r="F18" s="3" t="s">
        <v>333</v>
      </c>
      <c r="G18" s="3" t="s">
        <v>334</v>
      </c>
      <c r="H18" s="3" t="s">
        <v>335</v>
      </c>
      <c r="I18" s="3" t="s">
        <v>336</v>
      </c>
      <c r="J18" s="3" t="s">
        <v>166</v>
      </c>
      <c r="K18" s="3" t="s">
        <v>337</v>
      </c>
      <c r="L18" s="3" t="s">
        <v>338</v>
      </c>
    </row>
    <row r="19" spans="1:12" ht="90" customHeight="1">
      <c r="A19" s="2" t="s">
        <v>339</v>
      </c>
      <c r="B19" s="2" t="s">
        <v>340</v>
      </c>
      <c r="C19" s="2" t="s">
        <v>341</v>
      </c>
      <c r="D19" s="2" t="s">
        <v>342</v>
      </c>
      <c r="E19" s="2" t="s">
        <v>343</v>
      </c>
      <c r="F19" s="2" t="s">
        <v>344</v>
      </c>
      <c r="G19" s="2" t="s">
        <v>345</v>
      </c>
      <c r="H19" s="2" t="s">
        <v>346</v>
      </c>
      <c r="I19" s="2" t="s">
        <v>347</v>
      </c>
      <c r="J19" s="2" t="s">
        <v>166</v>
      </c>
      <c r="K19" s="2" t="s">
        <v>190</v>
      </c>
      <c r="L19" s="2" t="s">
        <v>348</v>
      </c>
    </row>
    <row r="20" spans="1:12" ht="90" customHeight="1">
      <c r="A20" s="2" t="s">
        <v>349</v>
      </c>
      <c r="B20" s="2" t="s">
        <v>350</v>
      </c>
      <c r="C20" s="2" t="s">
        <v>351</v>
      </c>
      <c r="D20" s="2" t="s">
        <v>352</v>
      </c>
      <c r="E20" s="2" t="s">
        <v>353</v>
      </c>
      <c r="F20" s="2" t="s">
        <v>354</v>
      </c>
      <c r="G20" s="2" t="s">
        <v>355</v>
      </c>
      <c r="H20" s="2" t="s">
        <v>356</v>
      </c>
      <c r="I20" s="2" t="s">
        <v>357</v>
      </c>
      <c r="J20" s="2" t="s">
        <v>158</v>
      </c>
      <c r="K20" s="2" t="s">
        <v>358</v>
      </c>
      <c r="L20" s="2" t="s">
        <v>359</v>
      </c>
    </row>
    <row r="21" spans="1:12" ht="15.75" customHeight="1"/>
    <row r="22" spans="1:12" ht="15.75" customHeight="1"/>
    <row r="23" spans="1:12" ht="15.75" customHeight="1"/>
    <row r="24" spans="1:12" ht="15.75" customHeight="1"/>
    <row r="25" spans="1:12" ht="15.75" customHeight="1"/>
    <row r="26" spans="1:12" ht="15.75" customHeight="1"/>
    <row r="27" spans="1:12" ht="15.75" customHeight="1"/>
    <row r="28" spans="1:12" ht="15.75" customHeight="1"/>
    <row r="29" spans="1:12" ht="15.75" customHeight="1"/>
    <row r="30" spans="1:12" ht="15.75" customHeight="1"/>
    <row r="31" spans="1:12" ht="15.75" customHeight="1"/>
    <row r="32" spans="1: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L1"/>
    <mergeCell ref="A2:L2"/>
  </mergeCells>
  <phoneticPr fontId="10" type="noConversion"/>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00"/>
  <sheetViews>
    <sheetView showGridLines="0" workbookViewId="0"/>
  </sheetViews>
  <sheetFormatPr defaultColWidth="14.42578125" defaultRowHeight="15" customHeight="1"/>
  <cols>
    <col min="1" max="1" width="12" customWidth="1"/>
    <col min="2" max="4" width="18" customWidth="1"/>
    <col min="5" max="5" width="32" customWidth="1"/>
    <col min="6" max="6" width="26" customWidth="1"/>
    <col min="7" max="7" width="24" customWidth="1"/>
    <col min="8" max="8" width="20" customWidth="1"/>
    <col min="9" max="9" width="28" customWidth="1"/>
    <col min="10" max="10" width="24" customWidth="1"/>
    <col min="11" max="11" width="12" customWidth="1"/>
    <col min="12" max="12" width="34" customWidth="1"/>
    <col min="13" max="26" width="8.7109375" customWidth="1"/>
  </cols>
  <sheetData>
    <row r="1" spans="1:12" ht="24" customHeight="1">
      <c r="A1" s="25" t="s">
        <v>360</v>
      </c>
      <c r="B1" s="26"/>
      <c r="C1" s="26"/>
      <c r="D1" s="26"/>
      <c r="E1" s="26"/>
      <c r="F1" s="26"/>
      <c r="G1" s="26"/>
      <c r="H1" s="26"/>
      <c r="I1" s="26"/>
      <c r="J1" s="26"/>
      <c r="K1" s="26"/>
      <c r="L1" s="27"/>
    </row>
    <row r="2" spans="1:12" ht="24" customHeight="1">
      <c r="A2" s="28" t="s">
        <v>361</v>
      </c>
      <c r="B2" s="26"/>
      <c r="C2" s="26"/>
      <c r="D2" s="26"/>
      <c r="E2" s="26"/>
      <c r="F2" s="26"/>
      <c r="G2" s="26"/>
      <c r="H2" s="26"/>
      <c r="I2" s="26"/>
      <c r="J2" s="26"/>
      <c r="K2" s="26"/>
      <c r="L2" s="27"/>
    </row>
    <row r="3" spans="1:12" ht="7.5" customHeight="1"/>
    <row r="4" spans="1:12" ht="30" customHeight="1">
      <c r="A4" s="1" t="s">
        <v>362</v>
      </c>
      <c r="B4" s="1" t="s">
        <v>363</v>
      </c>
      <c r="C4" s="1" t="s">
        <v>364</v>
      </c>
      <c r="D4" s="1" t="s">
        <v>365</v>
      </c>
      <c r="E4" s="1" t="s">
        <v>366</v>
      </c>
      <c r="F4" s="1" t="s">
        <v>367</v>
      </c>
      <c r="G4" s="1" t="s">
        <v>368</v>
      </c>
      <c r="H4" s="1" t="s">
        <v>369</v>
      </c>
      <c r="I4" s="1" t="s">
        <v>370</v>
      </c>
      <c r="J4" s="1" t="s">
        <v>371</v>
      </c>
      <c r="K4" s="1" t="s">
        <v>372</v>
      </c>
      <c r="L4" s="1" t="s">
        <v>373</v>
      </c>
    </row>
    <row r="5" spans="1:12" ht="31.5" customHeight="1">
      <c r="A5" s="2" t="s">
        <v>374</v>
      </c>
      <c r="B5" s="2" t="s">
        <v>375</v>
      </c>
      <c r="C5" s="2" t="s">
        <v>376</v>
      </c>
      <c r="D5" s="2" t="s">
        <v>377</v>
      </c>
      <c r="E5" s="2" t="s">
        <v>378</v>
      </c>
      <c r="F5" s="2" t="s">
        <v>379</v>
      </c>
      <c r="G5" s="2" t="s">
        <v>26</v>
      </c>
      <c r="H5" s="2" t="s">
        <v>380</v>
      </c>
      <c r="I5" s="2" t="s">
        <v>381</v>
      </c>
      <c r="J5" s="2" t="s">
        <v>382</v>
      </c>
      <c r="K5" s="2" t="s">
        <v>383</v>
      </c>
      <c r="L5" s="2" t="s">
        <v>384</v>
      </c>
    </row>
    <row r="6" spans="1:12" ht="31.5" customHeight="1">
      <c r="A6" s="3" t="s">
        <v>385</v>
      </c>
      <c r="B6" s="3" t="s">
        <v>386</v>
      </c>
      <c r="C6" s="3" t="s">
        <v>376</v>
      </c>
      <c r="D6" s="3" t="s">
        <v>377</v>
      </c>
      <c r="E6" s="3" t="s">
        <v>387</v>
      </c>
      <c r="F6" s="3" t="s">
        <v>388</v>
      </c>
      <c r="G6" s="3" t="s">
        <v>26</v>
      </c>
      <c r="H6" s="3" t="s">
        <v>380</v>
      </c>
      <c r="I6" s="3" t="s">
        <v>389</v>
      </c>
      <c r="J6" s="3" t="s">
        <v>390</v>
      </c>
      <c r="K6" s="3" t="s">
        <v>383</v>
      </c>
      <c r="L6" s="3" t="s">
        <v>391</v>
      </c>
    </row>
    <row r="7" spans="1:12" ht="31.5" customHeight="1">
      <c r="A7" s="2" t="s">
        <v>392</v>
      </c>
      <c r="B7" s="2" t="s">
        <v>393</v>
      </c>
      <c r="C7" s="2" t="s">
        <v>394</v>
      </c>
      <c r="D7" s="2" t="s">
        <v>377</v>
      </c>
      <c r="E7" s="2" t="s">
        <v>395</v>
      </c>
      <c r="F7" s="2" t="s">
        <v>396</v>
      </c>
      <c r="G7" s="2" t="s">
        <v>26</v>
      </c>
      <c r="H7" s="2" t="s">
        <v>380</v>
      </c>
      <c r="I7" s="2" t="s">
        <v>397</v>
      </c>
      <c r="J7" s="2" t="s">
        <v>398</v>
      </c>
      <c r="K7" s="2" t="s">
        <v>383</v>
      </c>
      <c r="L7" s="2" t="s">
        <v>399</v>
      </c>
    </row>
    <row r="8" spans="1:12" ht="45.75" customHeight="1">
      <c r="A8" s="3" t="s">
        <v>400</v>
      </c>
      <c r="B8" s="3" t="s">
        <v>401</v>
      </c>
      <c r="C8" s="3" t="s">
        <v>402</v>
      </c>
      <c r="D8" s="3" t="s">
        <v>403</v>
      </c>
      <c r="E8" s="3" t="s">
        <v>404</v>
      </c>
      <c r="F8" s="3" t="s">
        <v>405</v>
      </c>
      <c r="G8" s="3" t="s">
        <v>406</v>
      </c>
      <c r="H8" s="3" t="s">
        <v>213</v>
      </c>
      <c r="I8" s="3" t="s">
        <v>407</v>
      </c>
      <c r="J8" s="3" t="s">
        <v>62</v>
      </c>
      <c r="K8" s="3" t="s">
        <v>383</v>
      </c>
      <c r="L8" s="3" t="s">
        <v>408</v>
      </c>
    </row>
    <row r="9" spans="1:12" ht="45.75" customHeight="1">
      <c r="A9" s="2" t="s">
        <v>409</v>
      </c>
      <c r="B9" s="2" t="s">
        <v>410</v>
      </c>
      <c r="C9" s="2" t="s">
        <v>411</v>
      </c>
      <c r="D9" s="2" t="s">
        <v>412</v>
      </c>
      <c r="E9" s="2" t="s">
        <v>413</v>
      </c>
      <c r="F9" s="2" t="s">
        <v>414</v>
      </c>
      <c r="G9" s="2" t="s">
        <v>415</v>
      </c>
      <c r="H9" s="2" t="s">
        <v>416</v>
      </c>
      <c r="I9" s="2" t="s">
        <v>417</v>
      </c>
      <c r="J9" s="2" t="s">
        <v>418</v>
      </c>
      <c r="K9" s="2" t="s">
        <v>419</v>
      </c>
      <c r="L9" s="2" t="s">
        <v>420</v>
      </c>
    </row>
    <row r="10" spans="1:12" ht="31.5" customHeight="1">
      <c r="A10" s="3" t="s">
        <v>421</v>
      </c>
      <c r="B10" s="3" t="s">
        <v>422</v>
      </c>
      <c r="C10" s="3" t="s">
        <v>423</v>
      </c>
      <c r="D10" s="3" t="s">
        <v>424</v>
      </c>
      <c r="E10" s="3" t="s">
        <v>425</v>
      </c>
      <c r="F10" s="3" t="s">
        <v>426</v>
      </c>
      <c r="G10" s="3" t="s">
        <v>427</v>
      </c>
      <c r="H10" s="3" t="s">
        <v>428</v>
      </c>
      <c r="I10" s="3" t="s">
        <v>429</v>
      </c>
      <c r="J10" s="3" t="s">
        <v>430</v>
      </c>
      <c r="K10" s="3" t="s">
        <v>431</v>
      </c>
      <c r="L10" s="3" t="s">
        <v>432</v>
      </c>
    </row>
    <row r="11" spans="1:12" ht="31.5" customHeight="1">
      <c r="A11" s="2" t="s">
        <v>433</v>
      </c>
      <c r="B11" s="2" t="s">
        <v>434</v>
      </c>
      <c r="C11" s="2" t="s">
        <v>423</v>
      </c>
      <c r="D11" s="2" t="s">
        <v>424</v>
      </c>
      <c r="E11" s="2" t="s">
        <v>435</v>
      </c>
      <c r="F11" s="2" t="s">
        <v>436</v>
      </c>
      <c r="G11" s="2" t="s">
        <v>406</v>
      </c>
      <c r="H11" s="2" t="s">
        <v>437</v>
      </c>
      <c r="I11" s="2" t="s">
        <v>438</v>
      </c>
      <c r="J11" s="2" t="s">
        <v>439</v>
      </c>
      <c r="K11" s="2" t="s">
        <v>431</v>
      </c>
      <c r="L11" s="2" t="s">
        <v>440</v>
      </c>
    </row>
    <row r="12" spans="1:12" ht="45.75" customHeight="1">
      <c r="A12" s="3" t="s">
        <v>441</v>
      </c>
      <c r="B12" s="3" t="s">
        <v>442</v>
      </c>
      <c r="C12" s="3" t="s">
        <v>443</v>
      </c>
      <c r="D12" s="3" t="s">
        <v>412</v>
      </c>
      <c r="E12" s="3" t="s">
        <v>444</v>
      </c>
      <c r="F12" s="3" t="s">
        <v>445</v>
      </c>
      <c r="G12" s="3" t="s">
        <v>446</v>
      </c>
      <c r="H12" s="3" t="s">
        <v>447</v>
      </c>
      <c r="I12" s="3" t="s">
        <v>448</v>
      </c>
      <c r="J12" s="3" t="s">
        <v>449</v>
      </c>
      <c r="K12" s="3" t="s">
        <v>419</v>
      </c>
      <c r="L12" s="3" t="s">
        <v>450</v>
      </c>
    </row>
    <row r="13" spans="1:12" ht="45.75" customHeight="1">
      <c r="A13" s="2" t="s">
        <v>451</v>
      </c>
      <c r="B13" s="2" t="s">
        <v>452</v>
      </c>
      <c r="C13" s="2" t="s">
        <v>453</v>
      </c>
      <c r="D13" s="2" t="s">
        <v>454</v>
      </c>
      <c r="E13" s="2" t="s">
        <v>455</v>
      </c>
      <c r="F13" s="2" t="s">
        <v>456</v>
      </c>
      <c r="G13" s="2" t="s">
        <v>457</v>
      </c>
      <c r="H13" s="2" t="s">
        <v>235</v>
      </c>
      <c r="I13" s="2" t="s">
        <v>458</v>
      </c>
      <c r="J13" s="2" t="s">
        <v>459</v>
      </c>
      <c r="K13" s="2" t="s">
        <v>419</v>
      </c>
      <c r="L13" s="2" t="s">
        <v>460</v>
      </c>
    </row>
    <row r="14" spans="1:12" ht="31.5" customHeight="1">
      <c r="A14" s="3" t="s">
        <v>461</v>
      </c>
      <c r="B14" s="3" t="s">
        <v>462</v>
      </c>
      <c r="C14" s="3" t="s">
        <v>463</v>
      </c>
      <c r="D14" s="3" t="s">
        <v>464</v>
      </c>
      <c r="E14" s="3" t="s">
        <v>465</v>
      </c>
      <c r="F14" s="3" t="s">
        <v>466</v>
      </c>
      <c r="G14" s="3" t="s">
        <v>457</v>
      </c>
      <c r="H14" s="3" t="s">
        <v>467</v>
      </c>
      <c r="I14" s="3" t="s">
        <v>468</v>
      </c>
      <c r="J14" s="3" t="s">
        <v>469</v>
      </c>
      <c r="K14" s="3" t="s">
        <v>383</v>
      </c>
      <c r="L14" s="3" t="s">
        <v>470</v>
      </c>
    </row>
    <row r="15" spans="1:12" ht="45.75" customHeight="1">
      <c r="A15" s="2" t="s">
        <v>471</v>
      </c>
      <c r="B15" s="2" t="s">
        <v>472</v>
      </c>
      <c r="C15" s="2" t="s">
        <v>473</v>
      </c>
      <c r="D15" s="2" t="s">
        <v>474</v>
      </c>
      <c r="E15" s="2" t="s">
        <v>475</v>
      </c>
      <c r="F15" s="2" t="s">
        <v>476</v>
      </c>
      <c r="G15" s="2" t="s">
        <v>477</v>
      </c>
      <c r="H15" s="2" t="s">
        <v>478</v>
      </c>
      <c r="I15" s="2" t="s">
        <v>479</v>
      </c>
      <c r="J15" s="2" t="s">
        <v>480</v>
      </c>
      <c r="K15" s="2" t="s">
        <v>372</v>
      </c>
      <c r="L15" s="2" t="s">
        <v>481</v>
      </c>
    </row>
    <row r="16" spans="1:12" ht="31.5" customHeight="1">
      <c r="A16" s="3" t="s">
        <v>482</v>
      </c>
      <c r="B16" s="3" t="s">
        <v>483</v>
      </c>
      <c r="C16" s="3" t="s">
        <v>484</v>
      </c>
      <c r="D16" s="3" t="s">
        <v>454</v>
      </c>
      <c r="E16" s="3" t="s">
        <v>485</v>
      </c>
      <c r="F16" s="3" t="s">
        <v>486</v>
      </c>
      <c r="G16" s="3" t="s">
        <v>487</v>
      </c>
      <c r="H16" s="3" t="s">
        <v>488</v>
      </c>
      <c r="I16" s="3" t="s">
        <v>489</v>
      </c>
      <c r="J16" s="3" t="s">
        <v>490</v>
      </c>
      <c r="K16" s="3" t="s">
        <v>372</v>
      </c>
      <c r="L16" s="3" t="s">
        <v>491</v>
      </c>
    </row>
    <row r="17" spans="1:12" ht="78" customHeight="1">
      <c r="A17" s="2" t="s">
        <v>492</v>
      </c>
      <c r="B17" s="2" t="s">
        <v>493</v>
      </c>
      <c r="C17" s="2" t="s">
        <v>494</v>
      </c>
      <c r="D17" s="2" t="s">
        <v>495</v>
      </c>
      <c r="E17" s="2" t="s">
        <v>496</v>
      </c>
      <c r="F17" s="2" t="s">
        <v>497</v>
      </c>
      <c r="G17" s="2" t="s">
        <v>498</v>
      </c>
      <c r="H17" s="2" t="s">
        <v>213</v>
      </c>
      <c r="I17" s="2" t="s">
        <v>499</v>
      </c>
      <c r="J17" s="2" t="s">
        <v>500</v>
      </c>
      <c r="K17" s="2" t="s">
        <v>383</v>
      </c>
      <c r="L17" s="2" t="s">
        <v>501</v>
      </c>
    </row>
    <row r="18" spans="1:12" ht="78" customHeight="1">
      <c r="A18" s="2" t="s">
        <v>502</v>
      </c>
      <c r="B18" s="2" t="s">
        <v>503</v>
      </c>
      <c r="C18" s="2" t="s">
        <v>504</v>
      </c>
      <c r="D18" s="2" t="s">
        <v>412</v>
      </c>
      <c r="E18" s="2" t="s">
        <v>505</v>
      </c>
      <c r="F18" s="2" t="s">
        <v>506</v>
      </c>
      <c r="G18" s="2" t="s">
        <v>507</v>
      </c>
      <c r="H18" s="2" t="s">
        <v>478</v>
      </c>
      <c r="I18" s="2" t="s">
        <v>508</v>
      </c>
      <c r="J18" s="2" t="s">
        <v>52</v>
      </c>
      <c r="K18" s="2" t="s">
        <v>419</v>
      </c>
      <c r="L18" s="2" t="s">
        <v>509</v>
      </c>
    </row>
    <row r="19" spans="1:12" ht="78" customHeight="1">
      <c r="A19" s="2" t="s">
        <v>510</v>
      </c>
      <c r="B19" s="2" t="s">
        <v>511</v>
      </c>
      <c r="C19" s="2" t="s">
        <v>512</v>
      </c>
      <c r="D19" s="2" t="s">
        <v>412</v>
      </c>
      <c r="E19" s="2" t="s">
        <v>513</v>
      </c>
      <c r="F19" s="2" t="s">
        <v>514</v>
      </c>
      <c r="G19" s="2" t="s">
        <v>515</v>
      </c>
      <c r="H19" s="2" t="s">
        <v>213</v>
      </c>
      <c r="I19" s="2" t="s">
        <v>516</v>
      </c>
      <c r="J19" s="2" t="s">
        <v>517</v>
      </c>
      <c r="K19" s="2" t="s">
        <v>383</v>
      </c>
      <c r="L19" s="2" t="s">
        <v>518</v>
      </c>
    </row>
    <row r="20" spans="1:12" ht="78" customHeight="1">
      <c r="A20" s="2" t="s">
        <v>519</v>
      </c>
      <c r="B20" s="2" t="s">
        <v>520</v>
      </c>
      <c r="C20" s="2" t="s">
        <v>521</v>
      </c>
      <c r="D20" s="2" t="s">
        <v>412</v>
      </c>
      <c r="E20" s="2" t="s">
        <v>522</v>
      </c>
      <c r="F20" s="2" t="s">
        <v>523</v>
      </c>
      <c r="G20" s="2" t="s">
        <v>524</v>
      </c>
      <c r="H20" s="2" t="s">
        <v>525</v>
      </c>
      <c r="I20" s="2" t="s">
        <v>526</v>
      </c>
      <c r="J20" s="2" t="s">
        <v>140</v>
      </c>
      <c r="K20" s="2" t="s">
        <v>383</v>
      </c>
      <c r="L20" s="2" t="s">
        <v>527</v>
      </c>
    </row>
    <row r="21" spans="1:12" ht="15.75" customHeight="1"/>
    <row r="22" spans="1:12" ht="15.75" customHeight="1"/>
    <row r="23" spans="1:12" ht="15.75" customHeight="1"/>
    <row r="24" spans="1:12" ht="15.75" customHeight="1"/>
    <row r="25" spans="1:12" ht="15.75" customHeight="1"/>
    <row r="26" spans="1:12" ht="15.75" customHeight="1"/>
    <row r="27" spans="1:12" ht="15.75" customHeight="1"/>
    <row r="28" spans="1:12" ht="15.75" customHeight="1"/>
    <row r="29" spans="1:12" ht="15.75" customHeight="1"/>
    <row r="30" spans="1:12" ht="15.75" customHeight="1"/>
    <row r="31" spans="1:12" ht="15.75" customHeight="1"/>
    <row r="32" spans="1: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L1"/>
    <mergeCell ref="A2:L2"/>
  </mergeCells>
  <phoneticPr fontId="10" type="noConversion"/>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00"/>
  <sheetViews>
    <sheetView showGridLines="0" workbookViewId="0"/>
  </sheetViews>
  <sheetFormatPr defaultColWidth="14.42578125" defaultRowHeight="15" customHeight="1"/>
  <cols>
    <col min="1" max="1" width="12" customWidth="1"/>
    <col min="2" max="2" width="28" customWidth="1"/>
    <col min="3" max="3" width="18" customWidth="1"/>
    <col min="4" max="4" width="30" customWidth="1"/>
    <col min="5" max="6" width="28" customWidth="1"/>
    <col min="7" max="7" width="24" customWidth="1"/>
    <col min="8" max="8" width="34" customWidth="1"/>
    <col min="9" max="9" width="32" customWidth="1"/>
    <col min="10" max="10" width="42" customWidth="1"/>
    <col min="11" max="26" width="8.7109375" customWidth="1"/>
  </cols>
  <sheetData>
    <row r="1" spans="1:10" ht="24" customHeight="1">
      <c r="A1" s="25" t="s">
        <v>528</v>
      </c>
      <c r="B1" s="26"/>
      <c r="C1" s="26"/>
      <c r="D1" s="26"/>
      <c r="E1" s="26"/>
      <c r="F1" s="26"/>
      <c r="G1" s="26"/>
      <c r="H1" s="26"/>
      <c r="I1" s="26"/>
      <c r="J1" s="27"/>
    </row>
    <row r="2" spans="1:10" ht="24" customHeight="1">
      <c r="A2" s="28" t="s">
        <v>529</v>
      </c>
      <c r="B2" s="26"/>
      <c r="C2" s="26"/>
      <c r="D2" s="26"/>
      <c r="E2" s="26"/>
      <c r="F2" s="26"/>
      <c r="G2" s="26"/>
      <c r="H2" s="26"/>
      <c r="I2" s="26"/>
      <c r="J2" s="27"/>
    </row>
    <row r="3" spans="1:10" ht="7.5" customHeight="1"/>
    <row r="4" spans="1:10" ht="30" customHeight="1">
      <c r="A4" s="1" t="s">
        <v>530</v>
      </c>
      <c r="B4" s="1" t="s">
        <v>531</v>
      </c>
      <c r="C4" s="1" t="s">
        <v>372</v>
      </c>
      <c r="D4" s="1" t="s">
        <v>532</v>
      </c>
      <c r="E4" s="1" t="s">
        <v>533</v>
      </c>
      <c r="F4" s="1" t="s">
        <v>534</v>
      </c>
      <c r="G4" s="1" t="s">
        <v>368</v>
      </c>
      <c r="H4" s="1" t="s">
        <v>535</v>
      </c>
      <c r="I4" s="1" t="s">
        <v>9</v>
      </c>
      <c r="J4" s="1" t="s">
        <v>536</v>
      </c>
    </row>
    <row r="5" spans="1:10" ht="115.5" customHeight="1">
      <c r="A5" s="2" t="s">
        <v>537</v>
      </c>
      <c r="B5" s="2" t="s">
        <v>235</v>
      </c>
      <c r="C5" s="2" t="s">
        <v>538</v>
      </c>
      <c r="D5" s="2" t="s">
        <v>539</v>
      </c>
      <c r="E5" s="2" t="s">
        <v>230</v>
      </c>
      <c r="F5" s="2" t="s">
        <v>540</v>
      </c>
      <c r="G5" s="2" t="s">
        <v>541</v>
      </c>
      <c r="H5" s="2" t="s">
        <v>542</v>
      </c>
      <c r="I5" s="2" t="s">
        <v>543</v>
      </c>
      <c r="J5" s="2" t="s">
        <v>544</v>
      </c>
    </row>
    <row r="6" spans="1:10" ht="45.75" customHeight="1">
      <c r="A6" s="3" t="s">
        <v>545</v>
      </c>
      <c r="B6" s="3" t="s">
        <v>546</v>
      </c>
      <c r="C6" s="3" t="s">
        <v>383</v>
      </c>
      <c r="D6" s="3" t="s">
        <v>547</v>
      </c>
      <c r="E6" s="3" t="s">
        <v>548</v>
      </c>
      <c r="F6" s="3" t="s">
        <v>549</v>
      </c>
      <c r="G6" s="3" t="s">
        <v>541</v>
      </c>
      <c r="H6" s="3" t="s">
        <v>550</v>
      </c>
      <c r="I6" s="3" t="s">
        <v>551</v>
      </c>
      <c r="J6" s="3" t="s">
        <v>552</v>
      </c>
    </row>
    <row r="7" spans="1:10" ht="102" customHeight="1">
      <c r="A7" s="2" t="s">
        <v>553</v>
      </c>
      <c r="B7" s="2" t="s">
        <v>478</v>
      </c>
      <c r="C7" s="2" t="s">
        <v>554</v>
      </c>
      <c r="D7" s="2" t="s">
        <v>555</v>
      </c>
      <c r="E7" s="2" t="s">
        <v>556</v>
      </c>
      <c r="F7" s="2" t="s">
        <v>557</v>
      </c>
      <c r="G7" s="2" t="s">
        <v>558</v>
      </c>
      <c r="H7" s="2" t="s">
        <v>559</v>
      </c>
      <c r="I7" s="2" t="s">
        <v>560</v>
      </c>
      <c r="J7" s="2" t="s">
        <v>561</v>
      </c>
    </row>
    <row r="8" spans="1:10" ht="102" customHeight="1">
      <c r="A8" s="3" t="s">
        <v>562</v>
      </c>
      <c r="B8" s="3" t="s">
        <v>563</v>
      </c>
      <c r="C8" s="3" t="s">
        <v>564</v>
      </c>
      <c r="D8" s="3" t="s">
        <v>565</v>
      </c>
      <c r="E8" s="3" t="s">
        <v>566</v>
      </c>
      <c r="F8" s="3" t="s">
        <v>567</v>
      </c>
      <c r="G8" s="3" t="s">
        <v>568</v>
      </c>
      <c r="H8" s="3" t="s">
        <v>569</v>
      </c>
      <c r="I8" s="3" t="s">
        <v>570</v>
      </c>
      <c r="J8" s="3" t="s">
        <v>571</v>
      </c>
    </row>
    <row r="9" spans="1:10" ht="45.75" customHeight="1">
      <c r="A9" s="2" t="s">
        <v>572</v>
      </c>
      <c r="B9" s="2" t="s">
        <v>428</v>
      </c>
      <c r="C9" s="2" t="s">
        <v>573</v>
      </c>
      <c r="D9" s="2" t="s">
        <v>574</v>
      </c>
      <c r="E9" s="2" t="s">
        <v>575</v>
      </c>
      <c r="F9" s="2" t="s">
        <v>576</v>
      </c>
      <c r="G9" s="2" t="s">
        <v>427</v>
      </c>
      <c r="H9" s="2" t="s">
        <v>577</v>
      </c>
      <c r="I9" s="2" t="s">
        <v>578</v>
      </c>
      <c r="J9" s="2" t="s">
        <v>579</v>
      </c>
    </row>
    <row r="10" spans="1:10" ht="60" customHeight="1">
      <c r="A10" s="3" t="s">
        <v>572</v>
      </c>
      <c r="B10" s="3" t="s">
        <v>437</v>
      </c>
      <c r="C10" s="3" t="s">
        <v>580</v>
      </c>
      <c r="D10" s="3" t="s">
        <v>581</v>
      </c>
      <c r="E10" s="3" t="s">
        <v>582</v>
      </c>
      <c r="F10" s="3" t="s">
        <v>583</v>
      </c>
      <c r="G10" s="3" t="s">
        <v>406</v>
      </c>
      <c r="H10" s="3" t="s">
        <v>584</v>
      </c>
      <c r="I10" s="3" t="s">
        <v>440</v>
      </c>
      <c r="J10" s="3" t="s">
        <v>585</v>
      </c>
    </row>
    <row r="11" spans="1:10" ht="66" customHeight="1">
      <c r="A11" s="2" t="s">
        <v>586</v>
      </c>
      <c r="B11" s="2" t="s">
        <v>587</v>
      </c>
      <c r="C11" s="2" t="s">
        <v>383</v>
      </c>
      <c r="D11" s="2" t="s">
        <v>588</v>
      </c>
      <c r="E11" s="2" t="s">
        <v>589</v>
      </c>
      <c r="F11" s="2" t="s">
        <v>590</v>
      </c>
      <c r="G11" s="2" t="s">
        <v>591</v>
      </c>
      <c r="H11" s="2" t="s">
        <v>592</v>
      </c>
      <c r="I11" s="2" t="s">
        <v>593</v>
      </c>
      <c r="J11" s="2" t="s">
        <v>594</v>
      </c>
    </row>
    <row r="12" spans="1:10" ht="66" customHeight="1">
      <c r="A12" s="2" t="s">
        <v>595</v>
      </c>
      <c r="B12" s="2" t="s">
        <v>596</v>
      </c>
      <c r="C12" s="2" t="s">
        <v>383</v>
      </c>
      <c r="D12" s="2" t="s">
        <v>597</v>
      </c>
      <c r="E12" s="2" t="s">
        <v>598</v>
      </c>
      <c r="F12" s="2" t="s">
        <v>599</v>
      </c>
      <c r="G12" s="2" t="s">
        <v>600</v>
      </c>
      <c r="H12" s="2" t="s">
        <v>601</v>
      </c>
      <c r="I12" s="2" t="s">
        <v>602</v>
      </c>
      <c r="J12" s="2" t="s">
        <v>603</v>
      </c>
    </row>
    <row r="13" spans="1:10" ht="66" customHeight="1">
      <c r="A13" s="2" t="s">
        <v>604</v>
      </c>
      <c r="B13" s="2" t="s">
        <v>605</v>
      </c>
      <c r="C13" s="2" t="s">
        <v>383</v>
      </c>
      <c r="D13" s="2" t="s">
        <v>606</v>
      </c>
      <c r="E13" s="2" t="s">
        <v>607</v>
      </c>
      <c r="F13" s="2" t="s">
        <v>608</v>
      </c>
      <c r="G13" s="2" t="s">
        <v>609</v>
      </c>
      <c r="H13" s="2" t="s">
        <v>610</v>
      </c>
      <c r="I13" s="2" t="s">
        <v>611</v>
      </c>
      <c r="J13" s="2" t="s">
        <v>612</v>
      </c>
    </row>
    <row r="14" spans="1:10" ht="66" customHeight="1">
      <c r="A14" s="2" t="s">
        <v>613</v>
      </c>
      <c r="B14" s="2" t="s">
        <v>614</v>
      </c>
      <c r="C14" s="2" t="s">
        <v>383</v>
      </c>
      <c r="D14" s="2" t="s">
        <v>615</v>
      </c>
      <c r="E14" s="2" t="s">
        <v>616</v>
      </c>
      <c r="F14" s="2" t="s">
        <v>617</v>
      </c>
      <c r="G14" s="2" t="s">
        <v>618</v>
      </c>
      <c r="H14" s="2" t="s">
        <v>619</v>
      </c>
      <c r="I14" s="2" t="s">
        <v>620</v>
      </c>
      <c r="J14" s="2" t="s">
        <v>621</v>
      </c>
    </row>
    <row r="15" spans="1:10" ht="66" customHeight="1">
      <c r="A15" s="2" t="s">
        <v>622</v>
      </c>
      <c r="B15" s="2" t="s">
        <v>623</v>
      </c>
      <c r="C15" s="2" t="s">
        <v>624</v>
      </c>
      <c r="D15" s="2" t="s">
        <v>625</v>
      </c>
      <c r="E15" s="2" t="s">
        <v>626</v>
      </c>
      <c r="F15" s="2" t="s">
        <v>627</v>
      </c>
      <c r="G15" s="2" t="s">
        <v>628</v>
      </c>
      <c r="H15" s="2" t="s">
        <v>629</v>
      </c>
      <c r="I15" s="2" t="s">
        <v>630</v>
      </c>
      <c r="J15" s="2" t="s">
        <v>631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J1"/>
    <mergeCell ref="A2:J2"/>
  </mergeCells>
  <phoneticPr fontId="10" type="noConversion"/>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00"/>
  <sheetViews>
    <sheetView showGridLines="0" workbookViewId="0"/>
  </sheetViews>
  <sheetFormatPr defaultColWidth="14.42578125" defaultRowHeight="15" customHeight="1"/>
  <cols>
    <col min="1" max="1" width="14" customWidth="1"/>
    <col min="2" max="2" width="24" customWidth="1"/>
    <col min="3" max="3" width="14" customWidth="1"/>
    <col min="4" max="4" width="32" customWidth="1"/>
    <col min="5" max="5" width="34" customWidth="1"/>
    <col min="6" max="6" width="14" customWidth="1"/>
    <col min="7" max="7" width="16" customWidth="1"/>
    <col min="8" max="8" width="28" customWidth="1"/>
    <col min="9" max="9" width="16" customWidth="1"/>
    <col min="10" max="10" width="42" customWidth="1"/>
    <col min="11" max="26" width="8.7109375" customWidth="1"/>
  </cols>
  <sheetData>
    <row r="1" spans="1:10" ht="24" customHeight="1">
      <c r="A1" s="25" t="s">
        <v>632</v>
      </c>
      <c r="B1" s="26"/>
      <c r="C1" s="26"/>
      <c r="D1" s="26"/>
      <c r="E1" s="26"/>
      <c r="F1" s="26"/>
      <c r="G1" s="26"/>
      <c r="H1" s="26"/>
      <c r="I1" s="26"/>
      <c r="J1" s="27"/>
    </row>
    <row r="2" spans="1:10" ht="24" customHeight="1">
      <c r="A2" s="28" t="s">
        <v>633</v>
      </c>
      <c r="B2" s="26"/>
      <c r="C2" s="26"/>
      <c r="D2" s="26"/>
      <c r="E2" s="26"/>
      <c r="F2" s="26"/>
      <c r="G2" s="26"/>
      <c r="H2" s="26"/>
      <c r="I2" s="26"/>
      <c r="J2" s="27"/>
    </row>
    <row r="3" spans="1:10" ht="7.5" customHeight="1"/>
    <row r="4" spans="1:10" ht="30" customHeight="1">
      <c r="A4" s="1" t="s">
        <v>634</v>
      </c>
      <c r="B4" s="1" t="s">
        <v>635</v>
      </c>
      <c r="C4" s="1" t="s">
        <v>636</v>
      </c>
      <c r="D4" s="1" t="s">
        <v>637</v>
      </c>
      <c r="E4" s="1" t="s">
        <v>370</v>
      </c>
      <c r="F4" s="1" t="s">
        <v>638</v>
      </c>
      <c r="G4" s="1" t="s">
        <v>639</v>
      </c>
      <c r="H4" s="1" t="s">
        <v>371</v>
      </c>
      <c r="I4" s="1" t="s">
        <v>640</v>
      </c>
      <c r="J4" s="1" t="s">
        <v>641</v>
      </c>
    </row>
    <row r="5" spans="1:10" ht="60" customHeight="1">
      <c r="A5" s="2" t="s">
        <v>642</v>
      </c>
      <c r="B5" s="2" t="s">
        <v>643</v>
      </c>
      <c r="C5" s="2" t="s">
        <v>644</v>
      </c>
      <c r="D5" s="2" t="s">
        <v>645</v>
      </c>
      <c r="E5" s="2" t="s">
        <v>646</v>
      </c>
      <c r="F5" s="2" t="s">
        <v>647</v>
      </c>
      <c r="G5" s="2" t="s">
        <v>648</v>
      </c>
      <c r="H5" s="2" t="s">
        <v>649</v>
      </c>
      <c r="I5" s="2" t="s">
        <v>650</v>
      </c>
      <c r="J5" s="2" t="s">
        <v>651</v>
      </c>
    </row>
    <row r="6" spans="1:10" ht="60" customHeight="1">
      <c r="A6" s="3" t="s">
        <v>652</v>
      </c>
      <c r="B6" s="3" t="s">
        <v>653</v>
      </c>
      <c r="C6" s="3" t="s">
        <v>654</v>
      </c>
      <c r="D6" s="3" t="s">
        <v>655</v>
      </c>
      <c r="E6" s="3" t="s">
        <v>656</v>
      </c>
      <c r="F6" s="3" t="s">
        <v>647</v>
      </c>
      <c r="G6" s="3" t="s">
        <v>648</v>
      </c>
      <c r="H6" s="3" t="s">
        <v>657</v>
      </c>
      <c r="I6" s="3" t="s">
        <v>658</v>
      </c>
      <c r="J6" s="3" t="s">
        <v>659</v>
      </c>
    </row>
    <row r="7" spans="1:10" ht="60" customHeight="1">
      <c r="A7" s="2" t="s">
        <v>660</v>
      </c>
      <c r="B7" s="2" t="s">
        <v>661</v>
      </c>
      <c r="C7" s="2" t="s">
        <v>662</v>
      </c>
      <c r="D7" s="2" t="s">
        <v>663</v>
      </c>
      <c r="E7" s="2" t="s">
        <v>664</v>
      </c>
      <c r="F7" s="2" t="s">
        <v>647</v>
      </c>
      <c r="G7" s="2" t="s">
        <v>665</v>
      </c>
      <c r="H7" s="2" t="s">
        <v>666</v>
      </c>
      <c r="I7" s="2" t="s">
        <v>667</v>
      </c>
      <c r="J7" s="2" t="s">
        <v>668</v>
      </c>
    </row>
    <row r="8" spans="1:10" ht="60" customHeight="1">
      <c r="A8" s="3" t="s">
        <v>669</v>
      </c>
      <c r="B8" s="3" t="s">
        <v>670</v>
      </c>
      <c r="C8" s="3" t="s">
        <v>671</v>
      </c>
      <c r="D8" s="3" t="s">
        <v>672</v>
      </c>
      <c r="E8" s="3" t="s">
        <v>673</v>
      </c>
      <c r="F8" s="3" t="s">
        <v>647</v>
      </c>
      <c r="G8" s="3" t="s">
        <v>648</v>
      </c>
      <c r="H8" s="3" t="s">
        <v>674</v>
      </c>
      <c r="I8" s="3" t="s">
        <v>675</v>
      </c>
      <c r="J8" s="3" t="s">
        <v>676</v>
      </c>
    </row>
    <row r="9" spans="1:10" ht="60" customHeight="1">
      <c r="A9" s="2" t="s">
        <v>677</v>
      </c>
      <c r="B9" s="2" t="s">
        <v>678</v>
      </c>
      <c r="C9" s="2" t="s">
        <v>679</v>
      </c>
      <c r="D9" s="2" t="s">
        <v>680</v>
      </c>
      <c r="E9" s="2" t="s">
        <v>681</v>
      </c>
      <c r="F9" s="2" t="s">
        <v>647</v>
      </c>
      <c r="G9" s="2" t="s">
        <v>648</v>
      </c>
      <c r="H9" s="2" t="s">
        <v>682</v>
      </c>
      <c r="I9" s="2" t="s">
        <v>650</v>
      </c>
      <c r="J9" s="2" t="s">
        <v>683</v>
      </c>
    </row>
    <row r="10" spans="1:10" ht="60" customHeight="1">
      <c r="A10" s="3" t="s">
        <v>684</v>
      </c>
      <c r="B10" s="3" t="s">
        <v>685</v>
      </c>
      <c r="C10" s="3" t="s">
        <v>644</v>
      </c>
      <c r="D10" s="3" t="s">
        <v>686</v>
      </c>
      <c r="E10" s="3" t="s">
        <v>687</v>
      </c>
      <c r="F10" s="3" t="s">
        <v>647</v>
      </c>
      <c r="G10" s="3" t="s">
        <v>648</v>
      </c>
      <c r="H10" s="3" t="s">
        <v>688</v>
      </c>
      <c r="I10" s="3" t="s">
        <v>650</v>
      </c>
      <c r="J10" s="3" t="s">
        <v>689</v>
      </c>
    </row>
    <row r="11" spans="1:10" ht="60" customHeight="1">
      <c r="A11" s="2" t="s">
        <v>446</v>
      </c>
      <c r="B11" s="2" t="s">
        <v>690</v>
      </c>
      <c r="C11" s="2" t="s">
        <v>654</v>
      </c>
      <c r="D11" s="2" t="s">
        <v>691</v>
      </c>
      <c r="E11" s="2" t="s">
        <v>692</v>
      </c>
      <c r="F11" s="2" t="s">
        <v>647</v>
      </c>
      <c r="G11" s="2" t="s">
        <v>665</v>
      </c>
      <c r="H11" s="2" t="s">
        <v>693</v>
      </c>
      <c r="I11" s="2" t="s">
        <v>658</v>
      </c>
      <c r="J11" s="2" t="s">
        <v>694</v>
      </c>
    </row>
    <row r="12" spans="1:10" ht="60" customHeight="1">
      <c r="A12" s="3" t="s">
        <v>695</v>
      </c>
      <c r="B12" s="3" t="s">
        <v>696</v>
      </c>
      <c r="C12" s="3" t="s">
        <v>697</v>
      </c>
      <c r="D12" s="3" t="s">
        <v>280</v>
      </c>
      <c r="E12" s="3" t="s">
        <v>698</v>
      </c>
      <c r="F12" s="3" t="s">
        <v>647</v>
      </c>
      <c r="G12" s="3" t="s">
        <v>665</v>
      </c>
      <c r="H12" s="3" t="s">
        <v>699</v>
      </c>
      <c r="I12" s="3" t="s">
        <v>667</v>
      </c>
      <c r="J12" s="3" t="s">
        <v>700</v>
      </c>
    </row>
    <row r="13" spans="1:10" ht="60" customHeight="1">
      <c r="A13" s="2" t="s">
        <v>701</v>
      </c>
      <c r="B13" s="2" t="s">
        <v>702</v>
      </c>
      <c r="C13" s="2" t="s">
        <v>671</v>
      </c>
      <c r="D13" s="2" t="s">
        <v>703</v>
      </c>
      <c r="E13" s="2" t="s">
        <v>704</v>
      </c>
      <c r="F13" s="2" t="s">
        <v>647</v>
      </c>
      <c r="G13" s="2" t="s">
        <v>648</v>
      </c>
      <c r="H13" s="2" t="s">
        <v>705</v>
      </c>
      <c r="I13" s="2" t="s">
        <v>675</v>
      </c>
      <c r="J13" s="2" t="s">
        <v>706</v>
      </c>
    </row>
    <row r="14" spans="1:10" ht="60" customHeight="1">
      <c r="A14" s="3" t="s">
        <v>707</v>
      </c>
      <c r="B14" s="3" t="s">
        <v>708</v>
      </c>
      <c r="C14" s="3" t="s">
        <v>709</v>
      </c>
      <c r="D14" s="3" t="s">
        <v>710</v>
      </c>
      <c r="E14" s="3" t="s">
        <v>711</v>
      </c>
      <c r="F14" s="3" t="s">
        <v>647</v>
      </c>
      <c r="G14" s="3" t="s">
        <v>648</v>
      </c>
      <c r="H14" s="3" t="s">
        <v>712</v>
      </c>
      <c r="I14" s="3" t="s">
        <v>713</v>
      </c>
      <c r="J14" s="3" t="s">
        <v>714</v>
      </c>
    </row>
    <row r="15" spans="1:10" ht="60" customHeight="1">
      <c r="A15" s="2" t="s">
        <v>715</v>
      </c>
      <c r="B15" s="2" t="s">
        <v>716</v>
      </c>
      <c r="C15" s="2" t="s">
        <v>717</v>
      </c>
      <c r="D15" s="2" t="s">
        <v>718</v>
      </c>
      <c r="E15" s="2" t="s">
        <v>719</v>
      </c>
      <c r="F15" s="2" t="s">
        <v>647</v>
      </c>
      <c r="G15" s="2" t="s">
        <v>648</v>
      </c>
      <c r="H15" s="2" t="s">
        <v>720</v>
      </c>
      <c r="I15" s="2" t="s">
        <v>721</v>
      </c>
      <c r="J15" s="2" t="s">
        <v>722</v>
      </c>
    </row>
    <row r="16" spans="1:10" ht="60" customHeight="1">
      <c r="A16" s="3" t="s">
        <v>723</v>
      </c>
      <c r="B16" s="3" t="s">
        <v>724</v>
      </c>
      <c r="C16" s="3" t="s">
        <v>725</v>
      </c>
      <c r="D16" s="3" t="s">
        <v>726</v>
      </c>
      <c r="E16" s="3" t="s">
        <v>727</v>
      </c>
      <c r="F16" s="3" t="s">
        <v>647</v>
      </c>
      <c r="G16" s="3" t="s">
        <v>648</v>
      </c>
      <c r="H16" s="3" t="s">
        <v>728</v>
      </c>
      <c r="I16" s="3" t="s">
        <v>729</v>
      </c>
      <c r="J16" s="3" t="s">
        <v>730</v>
      </c>
    </row>
    <row r="17" spans="1:10" ht="60" customHeight="1">
      <c r="A17" s="2" t="s">
        <v>731</v>
      </c>
      <c r="B17" s="2" t="s">
        <v>732</v>
      </c>
      <c r="C17" s="2" t="s">
        <v>654</v>
      </c>
      <c r="D17" s="2" t="s">
        <v>733</v>
      </c>
      <c r="E17" s="2" t="s">
        <v>734</v>
      </c>
      <c r="F17" s="2" t="s">
        <v>647</v>
      </c>
      <c r="G17" s="2" t="s">
        <v>665</v>
      </c>
      <c r="H17" s="2" t="s">
        <v>735</v>
      </c>
      <c r="I17" s="2" t="s">
        <v>736</v>
      </c>
      <c r="J17" s="2" t="s">
        <v>737</v>
      </c>
    </row>
    <row r="18" spans="1:10" ht="60" customHeight="1">
      <c r="A18" s="3" t="s">
        <v>738</v>
      </c>
      <c r="B18" s="3" t="s">
        <v>739</v>
      </c>
      <c r="C18" s="3" t="s">
        <v>740</v>
      </c>
      <c r="D18" s="3" t="s">
        <v>741</v>
      </c>
      <c r="E18" s="3" t="s">
        <v>742</v>
      </c>
      <c r="F18" s="3" t="s">
        <v>647</v>
      </c>
      <c r="G18" s="3" t="s">
        <v>665</v>
      </c>
      <c r="H18" s="3" t="s">
        <v>743</v>
      </c>
      <c r="I18" s="3" t="s">
        <v>729</v>
      </c>
      <c r="J18" s="3" t="s">
        <v>744</v>
      </c>
    </row>
    <row r="19" spans="1:10" ht="60" customHeight="1">
      <c r="A19" s="2" t="s">
        <v>745</v>
      </c>
      <c r="B19" s="2" t="s">
        <v>746</v>
      </c>
      <c r="C19" s="2" t="s">
        <v>747</v>
      </c>
      <c r="D19" s="2" t="s">
        <v>748</v>
      </c>
      <c r="E19" s="2" t="s">
        <v>749</v>
      </c>
      <c r="F19" s="2" t="s">
        <v>647</v>
      </c>
      <c r="G19" s="2" t="s">
        <v>648</v>
      </c>
      <c r="H19" s="2" t="s">
        <v>750</v>
      </c>
      <c r="I19" s="2" t="s">
        <v>751</v>
      </c>
      <c r="J19" s="2" t="s">
        <v>752</v>
      </c>
    </row>
    <row r="20" spans="1:10" ht="60" customHeight="1">
      <c r="A20" s="3" t="s">
        <v>753</v>
      </c>
      <c r="B20" s="3" t="s">
        <v>754</v>
      </c>
      <c r="C20" s="3" t="s">
        <v>755</v>
      </c>
      <c r="D20" s="3" t="s">
        <v>756</v>
      </c>
      <c r="E20" s="3" t="s">
        <v>757</v>
      </c>
      <c r="F20" s="3" t="s">
        <v>647</v>
      </c>
      <c r="G20" s="3" t="s">
        <v>647</v>
      </c>
      <c r="H20" s="3" t="s">
        <v>758</v>
      </c>
      <c r="I20" s="3" t="s">
        <v>759</v>
      </c>
      <c r="J20" s="3" t="s">
        <v>760</v>
      </c>
    </row>
    <row r="21" spans="1:10" ht="60" customHeight="1">
      <c r="A21" s="2" t="s">
        <v>761</v>
      </c>
      <c r="B21" s="2" t="s">
        <v>762</v>
      </c>
      <c r="C21" s="2" t="s">
        <v>671</v>
      </c>
      <c r="D21" s="2" t="s">
        <v>763</v>
      </c>
      <c r="E21" s="2" t="s">
        <v>764</v>
      </c>
      <c r="F21" s="2" t="s">
        <v>647</v>
      </c>
      <c r="G21" s="2" t="s">
        <v>648</v>
      </c>
      <c r="H21" s="2" t="s">
        <v>765</v>
      </c>
      <c r="I21" s="2" t="s">
        <v>675</v>
      </c>
      <c r="J21" s="2" t="s">
        <v>766</v>
      </c>
    </row>
    <row r="22" spans="1:10" ht="60" customHeight="1">
      <c r="A22" s="3" t="s">
        <v>767</v>
      </c>
      <c r="B22" s="3" t="s">
        <v>768</v>
      </c>
      <c r="C22" s="3" t="s">
        <v>709</v>
      </c>
      <c r="D22" s="3" t="s">
        <v>769</v>
      </c>
      <c r="E22" s="3" t="s">
        <v>770</v>
      </c>
      <c r="F22" s="3" t="s">
        <v>647</v>
      </c>
      <c r="G22" s="3" t="s">
        <v>648</v>
      </c>
      <c r="H22" s="3" t="s">
        <v>771</v>
      </c>
      <c r="I22" s="3" t="s">
        <v>721</v>
      </c>
      <c r="J22" s="3" t="s">
        <v>772</v>
      </c>
    </row>
    <row r="23" spans="1:10" ht="60" customHeight="1">
      <c r="A23" s="2" t="s">
        <v>773</v>
      </c>
      <c r="B23" s="2" t="s">
        <v>774</v>
      </c>
      <c r="C23" s="2" t="s">
        <v>725</v>
      </c>
      <c r="D23" s="2" t="s">
        <v>775</v>
      </c>
      <c r="E23" s="2" t="s">
        <v>776</v>
      </c>
      <c r="F23" s="2" t="s">
        <v>647</v>
      </c>
      <c r="G23" s="2" t="s">
        <v>648</v>
      </c>
      <c r="H23" s="2" t="s">
        <v>777</v>
      </c>
      <c r="I23" s="2" t="s">
        <v>721</v>
      </c>
      <c r="J23" s="2" t="s">
        <v>778</v>
      </c>
    </row>
    <row r="24" spans="1:10" ht="15.75" customHeight="1"/>
    <row r="25" spans="1:10" ht="15.75" customHeight="1"/>
    <row r="26" spans="1:10" ht="15.75" customHeight="1"/>
    <row r="27" spans="1:10" ht="15.75" customHeight="1"/>
    <row r="28" spans="1:10" ht="15.75" customHeight="1"/>
    <row r="29" spans="1:10" ht="15.75" customHeight="1"/>
    <row r="30" spans="1:10" ht="15.75" customHeight="1"/>
    <row r="31" spans="1:10" ht="15.75" customHeight="1"/>
    <row r="32" spans="1:1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J1"/>
    <mergeCell ref="A2:J2"/>
  </mergeCells>
  <phoneticPr fontId="10" type="noConversion"/>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0"/>
  <sheetViews>
    <sheetView showGridLines="0" workbookViewId="0"/>
  </sheetViews>
  <sheetFormatPr defaultColWidth="14.42578125" defaultRowHeight="15" customHeight="1"/>
  <cols>
    <col min="1" max="1" width="19.7109375" customWidth="1"/>
    <col min="2" max="2" width="26" customWidth="1"/>
    <col min="3" max="3" width="30" customWidth="1"/>
    <col min="4" max="4" width="20" customWidth="1"/>
    <col min="5" max="5" width="75.28515625" customWidth="1"/>
    <col min="6" max="6" width="10.140625" customWidth="1"/>
    <col min="7" max="7" width="34.140625" customWidth="1"/>
    <col min="8" max="8" width="26" customWidth="1"/>
    <col min="9" max="26" width="8.7109375" customWidth="1"/>
  </cols>
  <sheetData>
    <row r="1" spans="1:8" ht="24" customHeight="1">
      <c r="A1" s="25" t="s">
        <v>779</v>
      </c>
      <c r="B1" s="26"/>
      <c r="C1" s="26"/>
      <c r="D1" s="26"/>
      <c r="E1" s="26"/>
      <c r="F1" s="26"/>
      <c r="G1" s="26"/>
      <c r="H1" s="27"/>
    </row>
    <row r="2" spans="1:8" ht="24" customHeight="1">
      <c r="A2" s="28" t="s">
        <v>780</v>
      </c>
      <c r="B2" s="26"/>
      <c r="C2" s="26"/>
      <c r="D2" s="26"/>
      <c r="E2" s="26"/>
      <c r="F2" s="26"/>
      <c r="G2" s="26"/>
      <c r="H2" s="27"/>
    </row>
    <row r="3" spans="1:8" ht="7.5" customHeight="1"/>
    <row r="4" spans="1:8" ht="30" customHeight="1">
      <c r="A4" s="1" t="s">
        <v>781</v>
      </c>
      <c r="B4" s="1" t="s">
        <v>782</v>
      </c>
      <c r="C4" s="1" t="s">
        <v>783</v>
      </c>
      <c r="D4" s="1" t="s">
        <v>784</v>
      </c>
      <c r="E4" s="1" t="s">
        <v>785</v>
      </c>
      <c r="F4" s="1" t="s">
        <v>786</v>
      </c>
      <c r="G4" s="1" t="s">
        <v>787</v>
      </c>
      <c r="H4" s="1" t="s">
        <v>788</v>
      </c>
    </row>
    <row r="5" spans="1:8" ht="60" customHeight="1">
      <c r="A5" s="2" t="s">
        <v>789</v>
      </c>
      <c r="B5" s="2" t="s">
        <v>790</v>
      </c>
      <c r="C5" s="2" t="s">
        <v>791</v>
      </c>
      <c r="D5" s="2" t="s">
        <v>792</v>
      </c>
      <c r="E5" s="2" t="s">
        <v>793</v>
      </c>
      <c r="F5" s="2" t="s">
        <v>794</v>
      </c>
      <c r="G5" s="2" t="s">
        <v>795</v>
      </c>
      <c r="H5" s="2" t="s">
        <v>796</v>
      </c>
    </row>
    <row r="6" spans="1:8" ht="45.75" customHeight="1">
      <c r="A6" s="3" t="s">
        <v>797</v>
      </c>
      <c r="B6" s="3" t="s">
        <v>798</v>
      </c>
      <c r="C6" s="3" t="s">
        <v>799</v>
      </c>
      <c r="D6" s="3" t="s">
        <v>800</v>
      </c>
      <c r="E6" s="3" t="s">
        <v>801</v>
      </c>
      <c r="F6" s="3" t="s">
        <v>802</v>
      </c>
      <c r="G6" s="3" t="s">
        <v>803</v>
      </c>
      <c r="H6" s="3" t="s">
        <v>804</v>
      </c>
    </row>
    <row r="7" spans="1:8" ht="45.75" customHeight="1">
      <c r="A7" s="2" t="s">
        <v>805</v>
      </c>
      <c r="B7" s="2" t="s">
        <v>806</v>
      </c>
      <c r="C7" s="2" t="s">
        <v>807</v>
      </c>
      <c r="D7" s="2" t="s">
        <v>808</v>
      </c>
      <c r="E7" s="2" t="s">
        <v>809</v>
      </c>
      <c r="F7" s="2" t="s">
        <v>802</v>
      </c>
      <c r="G7" s="2" t="s">
        <v>810</v>
      </c>
      <c r="H7" s="2" t="s">
        <v>811</v>
      </c>
    </row>
    <row r="8" spans="1:8" ht="73.5" customHeight="1">
      <c r="A8" s="3" t="s">
        <v>812</v>
      </c>
      <c r="B8" s="3" t="s">
        <v>813</v>
      </c>
      <c r="C8" s="3" t="s">
        <v>814</v>
      </c>
      <c r="D8" s="3" t="s">
        <v>815</v>
      </c>
      <c r="E8" s="3" t="s">
        <v>816</v>
      </c>
      <c r="F8" s="3" t="s">
        <v>802</v>
      </c>
      <c r="G8" s="3" t="s">
        <v>817</v>
      </c>
      <c r="H8" s="3" t="s">
        <v>818</v>
      </c>
    </row>
    <row r="9" spans="1:8" ht="60" customHeight="1">
      <c r="A9" s="2" t="s">
        <v>819</v>
      </c>
      <c r="B9" s="2" t="s">
        <v>820</v>
      </c>
      <c r="C9" s="2" t="s">
        <v>821</v>
      </c>
      <c r="D9" s="2" t="s">
        <v>822</v>
      </c>
      <c r="E9" s="2" t="s">
        <v>823</v>
      </c>
      <c r="F9" s="2" t="s">
        <v>802</v>
      </c>
      <c r="G9" s="2" t="s">
        <v>824</v>
      </c>
      <c r="H9" s="2" t="s">
        <v>825</v>
      </c>
    </row>
    <row r="10" spans="1:8" ht="87.75" customHeight="1">
      <c r="A10" s="3" t="s">
        <v>826</v>
      </c>
      <c r="B10" s="3" t="s">
        <v>827</v>
      </c>
      <c r="C10" s="3" t="s">
        <v>828</v>
      </c>
      <c r="D10" s="3" t="s">
        <v>829</v>
      </c>
      <c r="E10" s="3" t="s">
        <v>830</v>
      </c>
      <c r="F10" s="3" t="s">
        <v>802</v>
      </c>
      <c r="G10" s="3" t="s">
        <v>831</v>
      </c>
      <c r="H10" s="3" t="s">
        <v>832</v>
      </c>
    </row>
    <row r="11" spans="1:8" ht="45.75" customHeight="1">
      <c r="A11" s="2" t="s">
        <v>833</v>
      </c>
      <c r="B11" s="2" t="s">
        <v>834</v>
      </c>
      <c r="C11" s="2" t="s">
        <v>835</v>
      </c>
      <c r="D11" s="2" t="s">
        <v>836</v>
      </c>
      <c r="E11" s="2" t="s">
        <v>837</v>
      </c>
      <c r="F11" s="2" t="s">
        <v>838</v>
      </c>
      <c r="G11" s="2" t="s">
        <v>839</v>
      </c>
      <c r="H11" s="2" t="s">
        <v>840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H1"/>
    <mergeCell ref="A2:H2"/>
  </mergeCells>
  <phoneticPr fontId="10" type="noConversion"/>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00"/>
  <sheetViews>
    <sheetView showGridLines="0" workbookViewId="0"/>
  </sheetViews>
  <sheetFormatPr defaultColWidth="14.42578125" defaultRowHeight="15" customHeight="1"/>
  <cols>
    <col min="1" max="1" width="21.85546875" customWidth="1"/>
    <col min="2" max="2" width="35.42578125" customWidth="1"/>
    <col min="3" max="3" width="16.85546875" customWidth="1"/>
    <col min="4" max="4" width="33.7109375" customWidth="1"/>
    <col min="5" max="5" width="36.7109375" customWidth="1"/>
    <col min="6" max="6" width="9.140625" customWidth="1"/>
    <col min="7" max="26" width="8.7109375" customWidth="1"/>
  </cols>
  <sheetData>
    <row r="1" spans="1:6" ht="17.25">
      <c r="A1" s="25" t="s">
        <v>841</v>
      </c>
      <c r="B1" s="26"/>
      <c r="C1" s="26"/>
      <c r="D1" s="26"/>
      <c r="E1" s="26"/>
      <c r="F1" s="27"/>
    </row>
    <row r="2" spans="1:6">
      <c r="A2" s="28" t="s">
        <v>842</v>
      </c>
      <c r="B2" s="26"/>
      <c r="C2" s="26"/>
      <c r="D2" s="26"/>
      <c r="E2" s="26"/>
      <c r="F2" s="27"/>
    </row>
    <row r="4" spans="1:6">
      <c r="A4" s="1" t="s">
        <v>843</v>
      </c>
      <c r="B4" s="1" t="s">
        <v>844</v>
      </c>
      <c r="C4" s="1" t="s">
        <v>845</v>
      </c>
      <c r="D4" s="1" t="s">
        <v>846</v>
      </c>
      <c r="E4" s="1" t="s">
        <v>847</v>
      </c>
      <c r="F4" s="1" t="s">
        <v>9</v>
      </c>
    </row>
    <row r="5" spans="1:6" ht="40.5">
      <c r="A5" s="2" t="s">
        <v>848</v>
      </c>
      <c r="B5" s="2" t="s">
        <v>849</v>
      </c>
      <c r="C5" s="2" t="s">
        <v>850</v>
      </c>
      <c r="D5" s="2" t="s">
        <v>851</v>
      </c>
      <c r="E5" s="2" t="s">
        <v>852</v>
      </c>
      <c r="F5" s="2" t="s">
        <v>853</v>
      </c>
    </row>
    <row r="6" spans="1:6" ht="27">
      <c r="A6" s="3" t="s">
        <v>854</v>
      </c>
      <c r="B6" s="3" t="s">
        <v>855</v>
      </c>
      <c r="C6" s="3" t="s">
        <v>856</v>
      </c>
      <c r="D6" s="3" t="s">
        <v>857</v>
      </c>
      <c r="E6" s="3" t="s">
        <v>858</v>
      </c>
      <c r="F6" s="3" t="s">
        <v>859</v>
      </c>
    </row>
    <row r="7" spans="1:6" ht="40.5">
      <c r="A7" s="2" t="s">
        <v>860</v>
      </c>
      <c r="B7" s="2" t="s">
        <v>861</v>
      </c>
      <c r="C7" s="2" t="s">
        <v>862</v>
      </c>
      <c r="D7" s="2" t="s">
        <v>863</v>
      </c>
      <c r="E7" s="2" t="s">
        <v>864</v>
      </c>
      <c r="F7" s="2" t="s">
        <v>859</v>
      </c>
    </row>
    <row r="8" spans="1:6" ht="27">
      <c r="A8" s="3" t="s">
        <v>865</v>
      </c>
      <c r="B8" s="3" t="s">
        <v>866</v>
      </c>
      <c r="C8" s="3" t="s">
        <v>867</v>
      </c>
      <c r="D8" s="3" t="s">
        <v>868</v>
      </c>
      <c r="E8" s="3" t="s">
        <v>869</v>
      </c>
      <c r="F8" s="3" t="s">
        <v>859</v>
      </c>
    </row>
    <row r="9" spans="1:6" ht="27">
      <c r="A9" s="2" t="s">
        <v>870</v>
      </c>
      <c r="B9" s="2" t="s">
        <v>871</v>
      </c>
      <c r="C9" s="2" t="s">
        <v>872</v>
      </c>
      <c r="D9" s="2" t="s">
        <v>873</v>
      </c>
      <c r="E9" s="2" t="s">
        <v>874</v>
      </c>
      <c r="F9" s="2" t="s">
        <v>859</v>
      </c>
    </row>
    <row r="10" spans="1:6" ht="27">
      <c r="A10" s="3" t="s">
        <v>875</v>
      </c>
      <c r="B10" s="3" t="s">
        <v>876</v>
      </c>
      <c r="C10" s="3" t="s">
        <v>877</v>
      </c>
      <c r="D10" s="3" t="s">
        <v>878</v>
      </c>
      <c r="E10" s="3" t="s">
        <v>879</v>
      </c>
      <c r="F10" s="3" t="s">
        <v>880</v>
      </c>
    </row>
    <row r="11" spans="1:6" ht="27">
      <c r="A11" s="2" t="s">
        <v>881</v>
      </c>
      <c r="B11" s="2" t="s">
        <v>882</v>
      </c>
      <c r="C11" s="2" t="s">
        <v>877</v>
      </c>
      <c r="D11" s="2" t="s">
        <v>883</v>
      </c>
      <c r="E11" s="2" t="s">
        <v>884</v>
      </c>
      <c r="F11" s="2" t="s">
        <v>880</v>
      </c>
    </row>
    <row r="12" spans="1:6" ht="27">
      <c r="A12" s="3" t="s">
        <v>885</v>
      </c>
      <c r="B12" s="3" t="s">
        <v>886</v>
      </c>
      <c r="C12" s="3" t="s">
        <v>887</v>
      </c>
      <c r="D12" s="3" t="s">
        <v>888</v>
      </c>
      <c r="E12" s="3" t="s">
        <v>889</v>
      </c>
      <c r="F12" s="3" t="s">
        <v>890</v>
      </c>
    </row>
    <row r="13" spans="1:6" ht="27">
      <c r="A13" s="2" t="s">
        <v>891</v>
      </c>
      <c r="B13" s="2" t="s">
        <v>892</v>
      </c>
      <c r="C13" s="2" t="s">
        <v>893</v>
      </c>
      <c r="D13" s="2" t="s">
        <v>894</v>
      </c>
      <c r="E13" s="2" t="s">
        <v>895</v>
      </c>
      <c r="F13" s="2" t="s">
        <v>890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2:F2"/>
  </mergeCells>
  <phoneticPr fontId="10" type="noConversion"/>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00"/>
  <sheetViews>
    <sheetView showGridLines="0" workbookViewId="0"/>
  </sheetViews>
  <sheetFormatPr defaultColWidth="14.42578125" defaultRowHeight="15" customHeight="1"/>
  <cols>
    <col min="1" max="1" width="8" customWidth="1"/>
    <col min="2" max="2" width="17.5703125" customWidth="1"/>
    <col min="3" max="3" width="24" customWidth="1"/>
    <col min="4" max="4" width="30.42578125" customWidth="1"/>
    <col min="5" max="5" width="21.5703125" customWidth="1"/>
    <col min="6" max="6" width="63.42578125" customWidth="1"/>
    <col min="7" max="7" width="36.85546875" customWidth="1"/>
    <col min="8" max="8" width="19" customWidth="1"/>
    <col min="9" max="9" width="19.42578125" customWidth="1"/>
    <col min="10" max="26" width="8.7109375" customWidth="1"/>
  </cols>
  <sheetData>
    <row r="1" spans="1:9" ht="24" customHeight="1">
      <c r="A1" s="25" t="s">
        <v>896</v>
      </c>
      <c r="B1" s="26"/>
      <c r="C1" s="26"/>
      <c r="D1" s="26"/>
      <c r="E1" s="26"/>
      <c r="F1" s="26"/>
      <c r="G1" s="26"/>
      <c r="H1" s="26"/>
      <c r="I1" s="27"/>
    </row>
    <row r="2" spans="1:9" ht="24" customHeight="1">
      <c r="A2" s="28" t="s">
        <v>897</v>
      </c>
      <c r="B2" s="26"/>
      <c r="C2" s="26"/>
      <c r="D2" s="26"/>
      <c r="E2" s="26"/>
      <c r="F2" s="26"/>
      <c r="G2" s="26"/>
      <c r="H2" s="26"/>
      <c r="I2" s="27"/>
    </row>
    <row r="3" spans="1:9" ht="7.5" customHeight="1"/>
    <row r="4" spans="1:9" ht="30" customHeight="1">
      <c r="A4" s="1" t="s">
        <v>898</v>
      </c>
      <c r="B4" s="1" t="s">
        <v>899</v>
      </c>
      <c r="C4" s="1" t="s">
        <v>900</v>
      </c>
      <c r="D4" s="1" t="s">
        <v>533</v>
      </c>
      <c r="E4" s="1" t="s">
        <v>901</v>
      </c>
      <c r="F4" s="1" t="s">
        <v>902</v>
      </c>
      <c r="G4" s="1" t="s">
        <v>903</v>
      </c>
      <c r="H4" s="1" t="s">
        <v>371</v>
      </c>
      <c r="I4" s="1" t="s">
        <v>904</v>
      </c>
    </row>
    <row r="5" spans="1:9" ht="60" customHeight="1">
      <c r="A5" s="2" t="s">
        <v>905</v>
      </c>
      <c r="B5" s="2" t="s">
        <v>272</v>
      </c>
      <c r="C5" s="2" t="s">
        <v>906</v>
      </c>
      <c r="D5" s="2" t="s">
        <v>907</v>
      </c>
      <c r="E5" s="2" t="s">
        <v>908</v>
      </c>
      <c r="F5" s="2" t="s">
        <v>909</v>
      </c>
      <c r="G5" s="2" t="s">
        <v>910</v>
      </c>
      <c r="H5" s="2" t="s">
        <v>277</v>
      </c>
      <c r="I5" s="2" t="s">
        <v>911</v>
      </c>
    </row>
    <row r="6" spans="1:9" ht="45.75" customHeight="1">
      <c r="A6" s="3" t="s">
        <v>912</v>
      </c>
      <c r="B6" s="3" t="s">
        <v>913</v>
      </c>
      <c r="C6" s="3" t="s">
        <v>914</v>
      </c>
      <c r="D6" s="3" t="s">
        <v>915</v>
      </c>
      <c r="E6" s="3" t="s">
        <v>916</v>
      </c>
      <c r="F6" s="3" t="s">
        <v>917</v>
      </c>
      <c r="G6" s="3" t="s">
        <v>918</v>
      </c>
      <c r="H6" s="3" t="s">
        <v>919</v>
      </c>
      <c r="I6" s="3" t="s">
        <v>290</v>
      </c>
    </row>
    <row r="7" spans="1:9" ht="45.75" customHeight="1">
      <c r="A7" s="2" t="s">
        <v>920</v>
      </c>
      <c r="B7" s="2" t="s">
        <v>921</v>
      </c>
      <c r="C7" s="2" t="s">
        <v>922</v>
      </c>
      <c r="D7" s="2" t="s">
        <v>923</v>
      </c>
      <c r="E7" s="2" t="s">
        <v>916</v>
      </c>
      <c r="F7" s="2" t="s">
        <v>924</v>
      </c>
      <c r="G7" s="2" t="s">
        <v>925</v>
      </c>
      <c r="H7" s="2" t="s">
        <v>926</v>
      </c>
      <c r="I7" s="2" t="s">
        <v>927</v>
      </c>
    </row>
    <row r="8" spans="1:9" ht="45.75" customHeight="1">
      <c r="A8" s="3" t="s">
        <v>928</v>
      </c>
      <c r="B8" s="3" t="s">
        <v>929</v>
      </c>
      <c r="C8" s="3" t="s">
        <v>930</v>
      </c>
      <c r="D8" s="3" t="s">
        <v>931</v>
      </c>
      <c r="E8" s="3" t="s">
        <v>213</v>
      </c>
      <c r="F8" s="3" t="s">
        <v>932</v>
      </c>
      <c r="G8" s="3" t="s">
        <v>933</v>
      </c>
      <c r="H8" s="3" t="s">
        <v>934</v>
      </c>
      <c r="I8" s="3" t="s">
        <v>865</v>
      </c>
    </row>
    <row r="9" spans="1:9" ht="45.75" customHeight="1">
      <c r="A9" s="2" t="s">
        <v>935</v>
      </c>
      <c r="B9" s="2" t="s">
        <v>936</v>
      </c>
      <c r="C9" s="2" t="s">
        <v>937</v>
      </c>
      <c r="D9" s="2" t="s">
        <v>938</v>
      </c>
      <c r="E9" s="2" t="s">
        <v>939</v>
      </c>
      <c r="F9" s="2" t="s">
        <v>940</v>
      </c>
      <c r="G9" s="2" t="s">
        <v>941</v>
      </c>
      <c r="H9" s="2" t="s">
        <v>942</v>
      </c>
      <c r="I9" s="2" t="s">
        <v>891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I1"/>
    <mergeCell ref="A2:I2"/>
  </mergeCells>
  <phoneticPr fontId="10" type="noConversion"/>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0"/>
  <sheetViews>
    <sheetView showGridLines="0" workbookViewId="0">
      <selection activeCell="J16" sqref="J16"/>
    </sheetView>
  </sheetViews>
  <sheetFormatPr defaultColWidth="14.42578125" defaultRowHeight="15" customHeight="1"/>
  <cols>
    <col min="1" max="1" width="9.140625" customWidth="1"/>
    <col min="2" max="2" width="16.85546875" customWidth="1"/>
    <col min="3" max="3" width="10.140625" customWidth="1"/>
    <col min="4" max="4" width="9.7109375" customWidth="1"/>
    <col min="5" max="5" width="10" customWidth="1"/>
    <col min="6" max="6" width="10.140625" customWidth="1"/>
    <col min="7" max="7" width="45.28515625" customWidth="1"/>
    <col min="8" max="8" width="27.85546875" customWidth="1"/>
    <col min="9" max="9" width="29.85546875" customWidth="1"/>
    <col min="10" max="10" width="20.42578125" customWidth="1"/>
    <col min="11" max="11" width="23.5703125" customWidth="1"/>
    <col min="12" max="26" width="8.7109375" customWidth="1"/>
  </cols>
  <sheetData>
    <row r="1" spans="1:11" ht="17.25">
      <c r="A1" s="25" t="s">
        <v>943</v>
      </c>
      <c r="B1" s="25"/>
      <c r="C1" s="25"/>
      <c r="D1" s="25"/>
      <c r="E1" s="25"/>
      <c r="F1" s="25"/>
      <c r="G1" s="25"/>
      <c r="H1" s="25"/>
      <c r="I1" s="25"/>
      <c r="J1" s="25"/>
      <c r="K1" s="25"/>
    </row>
    <row r="2" spans="1:11" ht="15" customHeight="1">
      <c r="A2" s="29" t="s">
        <v>944</v>
      </c>
      <c r="B2" s="29"/>
      <c r="C2" s="29"/>
      <c r="D2" s="29"/>
      <c r="E2" s="29"/>
      <c r="F2" s="29"/>
      <c r="G2" s="29"/>
      <c r="H2" s="29"/>
      <c r="I2" s="29"/>
      <c r="J2" s="29"/>
      <c r="K2" s="29"/>
    </row>
    <row r="4" spans="1:11">
      <c r="A4" s="1" t="s">
        <v>945</v>
      </c>
      <c r="B4" s="1" t="s">
        <v>946</v>
      </c>
      <c r="C4" s="1" t="s">
        <v>947</v>
      </c>
      <c r="D4" s="1" t="s">
        <v>948</v>
      </c>
      <c r="E4" s="1" t="s">
        <v>949</v>
      </c>
      <c r="F4" s="1" t="s">
        <v>950</v>
      </c>
      <c r="G4" s="1" t="s">
        <v>951</v>
      </c>
      <c r="H4" s="1" t="s">
        <v>952</v>
      </c>
      <c r="I4" s="1" t="s">
        <v>953</v>
      </c>
      <c r="J4" s="1" t="s">
        <v>2373</v>
      </c>
      <c r="K4" s="1" t="s">
        <v>2390</v>
      </c>
    </row>
    <row r="5" spans="1:11" ht="40.5">
      <c r="A5" s="2" t="s">
        <v>954</v>
      </c>
      <c r="B5" s="2" t="s">
        <v>955</v>
      </c>
      <c r="C5" s="2" t="s">
        <v>956</v>
      </c>
      <c r="D5" s="2" t="s">
        <v>956</v>
      </c>
      <c r="E5" s="2" t="s">
        <v>956</v>
      </c>
      <c r="F5" s="2" t="s">
        <v>956</v>
      </c>
      <c r="G5" s="2" t="s">
        <v>957</v>
      </c>
      <c r="H5" s="2" t="s">
        <v>958</v>
      </c>
      <c r="I5" s="2" t="s">
        <v>959</v>
      </c>
      <c r="J5" s="2" t="s">
        <v>2374</v>
      </c>
      <c r="K5" s="2" t="s">
        <v>2391</v>
      </c>
    </row>
    <row r="6" spans="1:11" ht="40.5">
      <c r="A6" s="3" t="s">
        <v>960</v>
      </c>
      <c r="B6" s="3" t="s">
        <v>961</v>
      </c>
      <c r="C6" s="3" t="s">
        <v>956</v>
      </c>
      <c r="D6" s="3" t="s">
        <v>956</v>
      </c>
      <c r="E6" s="3" t="s">
        <v>956</v>
      </c>
      <c r="F6" s="3" t="s">
        <v>962</v>
      </c>
      <c r="G6" s="3" t="s">
        <v>957</v>
      </c>
      <c r="H6" s="3" t="s">
        <v>963</v>
      </c>
      <c r="I6" s="3" t="s">
        <v>964</v>
      </c>
      <c r="J6" s="3" t="s">
        <v>2375</v>
      </c>
      <c r="K6" s="3" t="s">
        <v>2392</v>
      </c>
    </row>
    <row r="7" spans="1:11" ht="40.5">
      <c r="A7" s="2" t="s">
        <v>965</v>
      </c>
      <c r="B7" s="2" t="s">
        <v>966</v>
      </c>
      <c r="C7" s="2" t="s">
        <v>956</v>
      </c>
      <c r="D7" s="2" t="s">
        <v>956</v>
      </c>
      <c r="E7" s="2" t="s">
        <v>962</v>
      </c>
      <c r="F7" s="2" t="s">
        <v>956</v>
      </c>
      <c r="G7" s="2" t="s">
        <v>957</v>
      </c>
      <c r="H7" s="2" t="s">
        <v>967</v>
      </c>
      <c r="I7" s="2" t="s">
        <v>968</v>
      </c>
      <c r="J7" s="2" t="s">
        <v>2376</v>
      </c>
      <c r="K7" s="2" t="s">
        <v>2393</v>
      </c>
    </row>
    <row r="8" spans="1:11" ht="40.5">
      <c r="A8" s="3" t="s">
        <v>969</v>
      </c>
      <c r="B8" s="3" t="s">
        <v>970</v>
      </c>
      <c r="C8" s="3" t="s">
        <v>956</v>
      </c>
      <c r="D8" s="3" t="s">
        <v>956</v>
      </c>
      <c r="E8" s="3" t="s">
        <v>962</v>
      </c>
      <c r="F8" s="3" t="s">
        <v>962</v>
      </c>
      <c r="G8" s="3" t="s">
        <v>957</v>
      </c>
      <c r="H8" s="3" t="s">
        <v>971</v>
      </c>
      <c r="I8" s="3" t="s">
        <v>972</v>
      </c>
      <c r="J8" s="3" t="s">
        <v>2377</v>
      </c>
      <c r="K8" s="3" t="s">
        <v>2394</v>
      </c>
    </row>
    <row r="9" spans="1:11" ht="40.5">
      <c r="A9" s="2" t="s">
        <v>973</v>
      </c>
      <c r="B9" s="2" t="s">
        <v>974</v>
      </c>
      <c r="C9" s="2" t="s">
        <v>956</v>
      </c>
      <c r="D9" s="2" t="s">
        <v>962</v>
      </c>
      <c r="E9" s="2" t="s">
        <v>956</v>
      </c>
      <c r="F9" s="2" t="s">
        <v>956</v>
      </c>
      <c r="G9" s="2" t="s">
        <v>957</v>
      </c>
      <c r="H9" s="2" t="s">
        <v>975</v>
      </c>
      <c r="I9" s="2" t="s">
        <v>976</v>
      </c>
      <c r="J9" s="2" t="s">
        <v>2378</v>
      </c>
      <c r="K9" s="2" t="s">
        <v>2395</v>
      </c>
    </row>
    <row r="10" spans="1:11" ht="40.5">
      <c r="A10" s="3" t="s">
        <v>977</v>
      </c>
      <c r="B10" s="3" t="s">
        <v>978</v>
      </c>
      <c r="C10" s="3" t="s">
        <v>956</v>
      </c>
      <c r="D10" s="3" t="s">
        <v>962</v>
      </c>
      <c r="E10" s="3" t="s">
        <v>956</v>
      </c>
      <c r="F10" s="3" t="s">
        <v>962</v>
      </c>
      <c r="G10" s="3" t="s">
        <v>957</v>
      </c>
      <c r="H10" s="3" t="s">
        <v>979</v>
      </c>
      <c r="I10" s="3" t="s">
        <v>980</v>
      </c>
      <c r="J10" s="3" t="s">
        <v>2379</v>
      </c>
      <c r="K10" s="3" t="s">
        <v>2396</v>
      </c>
    </row>
    <row r="11" spans="1:11" ht="40.5">
      <c r="A11" s="2" t="s">
        <v>981</v>
      </c>
      <c r="B11" s="2" t="s">
        <v>982</v>
      </c>
      <c r="C11" s="2" t="s">
        <v>956</v>
      </c>
      <c r="D11" s="2" t="s">
        <v>962</v>
      </c>
      <c r="E11" s="2" t="s">
        <v>962</v>
      </c>
      <c r="F11" s="2" t="s">
        <v>956</v>
      </c>
      <c r="G11" s="2" t="s">
        <v>957</v>
      </c>
      <c r="H11" s="2" t="s">
        <v>983</v>
      </c>
      <c r="I11" s="2" t="s">
        <v>984</v>
      </c>
      <c r="J11" s="2" t="s">
        <v>2380</v>
      </c>
      <c r="K11" s="2" t="s">
        <v>2397</v>
      </c>
    </row>
    <row r="12" spans="1:11" ht="40.5">
      <c r="A12" s="3" t="s">
        <v>985</v>
      </c>
      <c r="B12" s="3" t="s">
        <v>986</v>
      </c>
      <c r="C12" s="3" t="s">
        <v>956</v>
      </c>
      <c r="D12" s="3" t="s">
        <v>962</v>
      </c>
      <c r="E12" s="3" t="s">
        <v>962</v>
      </c>
      <c r="F12" s="3" t="s">
        <v>962</v>
      </c>
      <c r="G12" s="3" t="s">
        <v>957</v>
      </c>
      <c r="H12" s="3" t="s">
        <v>987</v>
      </c>
      <c r="I12" s="3" t="s">
        <v>988</v>
      </c>
      <c r="J12" s="3" t="s">
        <v>2381</v>
      </c>
      <c r="K12" s="3" t="s">
        <v>2398</v>
      </c>
    </row>
    <row r="13" spans="1:11" ht="40.5">
      <c r="A13" s="2" t="s">
        <v>989</v>
      </c>
      <c r="B13" s="2" t="s">
        <v>990</v>
      </c>
      <c r="C13" s="2" t="s">
        <v>962</v>
      </c>
      <c r="D13" s="2" t="s">
        <v>956</v>
      </c>
      <c r="E13" s="2" t="s">
        <v>956</v>
      </c>
      <c r="F13" s="2" t="s">
        <v>956</v>
      </c>
      <c r="G13" s="2" t="s">
        <v>957</v>
      </c>
      <c r="H13" s="2" t="s">
        <v>991</v>
      </c>
      <c r="I13" s="2" t="s">
        <v>992</v>
      </c>
      <c r="J13" s="2" t="s">
        <v>2382</v>
      </c>
      <c r="K13" s="2" t="s">
        <v>2399</v>
      </c>
    </row>
    <row r="14" spans="1:11" ht="40.5">
      <c r="A14" s="3" t="s">
        <v>993</v>
      </c>
      <c r="B14" s="3" t="s">
        <v>994</v>
      </c>
      <c r="C14" s="3" t="s">
        <v>962</v>
      </c>
      <c r="D14" s="3" t="s">
        <v>956</v>
      </c>
      <c r="E14" s="3" t="s">
        <v>956</v>
      </c>
      <c r="F14" s="3" t="s">
        <v>962</v>
      </c>
      <c r="G14" s="3" t="s">
        <v>957</v>
      </c>
      <c r="H14" s="3" t="s">
        <v>995</v>
      </c>
      <c r="I14" s="3" t="s">
        <v>996</v>
      </c>
      <c r="J14" s="3" t="s">
        <v>2383</v>
      </c>
      <c r="K14" s="3" t="s">
        <v>2400</v>
      </c>
    </row>
    <row r="15" spans="1:11" ht="40.5">
      <c r="A15" s="2" t="s">
        <v>997</v>
      </c>
      <c r="B15" s="2" t="s">
        <v>998</v>
      </c>
      <c r="C15" s="2" t="s">
        <v>962</v>
      </c>
      <c r="D15" s="2" t="s">
        <v>956</v>
      </c>
      <c r="E15" s="2" t="s">
        <v>962</v>
      </c>
      <c r="F15" s="2" t="s">
        <v>956</v>
      </c>
      <c r="G15" s="2" t="s">
        <v>957</v>
      </c>
      <c r="H15" s="2" t="s">
        <v>999</v>
      </c>
      <c r="I15" s="2" t="s">
        <v>1000</v>
      </c>
      <c r="J15" s="2" t="s">
        <v>2384</v>
      </c>
      <c r="K15" s="2" t="s">
        <v>2401</v>
      </c>
    </row>
    <row r="16" spans="1:11" ht="40.5">
      <c r="A16" s="3" t="s">
        <v>1001</v>
      </c>
      <c r="B16" s="3" t="s">
        <v>1002</v>
      </c>
      <c r="C16" s="3" t="s">
        <v>962</v>
      </c>
      <c r="D16" s="3" t="s">
        <v>956</v>
      </c>
      <c r="E16" s="3" t="s">
        <v>962</v>
      </c>
      <c r="F16" s="3" t="s">
        <v>962</v>
      </c>
      <c r="G16" s="3" t="s">
        <v>957</v>
      </c>
      <c r="H16" s="3" t="s">
        <v>1003</v>
      </c>
      <c r="I16" s="3" t="s">
        <v>1004</v>
      </c>
      <c r="J16" s="3" t="s">
        <v>2385</v>
      </c>
      <c r="K16" s="3" t="s">
        <v>2402</v>
      </c>
    </row>
    <row r="17" spans="1:11" ht="40.5">
      <c r="A17" s="2" t="s">
        <v>1005</v>
      </c>
      <c r="B17" s="2" t="s">
        <v>1006</v>
      </c>
      <c r="C17" s="2" t="s">
        <v>962</v>
      </c>
      <c r="D17" s="2" t="s">
        <v>962</v>
      </c>
      <c r="E17" s="2" t="s">
        <v>956</v>
      </c>
      <c r="F17" s="2" t="s">
        <v>956</v>
      </c>
      <c r="G17" s="2" t="s">
        <v>957</v>
      </c>
      <c r="H17" s="2" t="s">
        <v>1007</v>
      </c>
      <c r="I17" s="2" t="s">
        <v>1008</v>
      </c>
      <c r="J17" s="2" t="s">
        <v>2386</v>
      </c>
      <c r="K17" s="2" t="s">
        <v>2403</v>
      </c>
    </row>
    <row r="18" spans="1:11" ht="40.5">
      <c r="A18" s="3" t="s">
        <v>1009</v>
      </c>
      <c r="B18" s="3" t="s">
        <v>1010</v>
      </c>
      <c r="C18" s="3" t="s">
        <v>962</v>
      </c>
      <c r="D18" s="3" t="s">
        <v>962</v>
      </c>
      <c r="E18" s="3" t="s">
        <v>956</v>
      </c>
      <c r="F18" s="3" t="s">
        <v>962</v>
      </c>
      <c r="G18" s="3" t="s">
        <v>957</v>
      </c>
      <c r="H18" s="3" t="s">
        <v>1011</v>
      </c>
      <c r="I18" s="3" t="s">
        <v>1012</v>
      </c>
      <c r="J18" s="3" t="s">
        <v>2387</v>
      </c>
      <c r="K18" s="3" t="s">
        <v>2404</v>
      </c>
    </row>
    <row r="19" spans="1:11" ht="40.5">
      <c r="A19" s="2" t="s">
        <v>1013</v>
      </c>
      <c r="B19" s="2" t="s">
        <v>1014</v>
      </c>
      <c r="C19" s="2" t="s">
        <v>962</v>
      </c>
      <c r="D19" s="2" t="s">
        <v>962</v>
      </c>
      <c r="E19" s="2" t="s">
        <v>962</v>
      </c>
      <c r="F19" s="2" t="s">
        <v>956</v>
      </c>
      <c r="G19" s="2" t="s">
        <v>957</v>
      </c>
      <c r="H19" s="2" t="s">
        <v>1015</v>
      </c>
      <c r="I19" s="2" t="s">
        <v>1016</v>
      </c>
      <c r="J19" s="2" t="s">
        <v>2388</v>
      </c>
      <c r="K19" s="2" t="s">
        <v>2405</v>
      </c>
    </row>
    <row r="20" spans="1:11" ht="40.5">
      <c r="A20" s="3" t="s">
        <v>1017</v>
      </c>
      <c r="B20" s="3" t="s">
        <v>1018</v>
      </c>
      <c r="C20" s="3" t="s">
        <v>962</v>
      </c>
      <c r="D20" s="3" t="s">
        <v>962</v>
      </c>
      <c r="E20" s="3" t="s">
        <v>962</v>
      </c>
      <c r="F20" s="3" t="s">
        <v>962</v>
      </c>
      <c r="G20" s="3" t="s">
        <v>957</v>
      </c>
      <c r="H20" s="3" t="s">
        <v>1019</v>
      </c>
      <c r="I20" s="3" t="s">
        <v>1020</v>
      </c>
      <c r="J20" s="3" t="s">
        <v>2389</v>
      </c>
      <c r="K20" s="3" t="s">
        <v>2406</v>
      </c>
    </row>
    <row r="21" spans="1:11" ht="15.75" customHeight="1"/>
    <row r="22" spans="1:11" ht="15.75" customHeight="1"/>
    <row r="23" spans="1:11" ht="15.75" customHeight="1"/>
    <row r="24" spans="1:11" ht="15.75" customHeight="1"/>
    <row r="25" spans="1:11" ht="15.75" customHeight="1"/>
    <row r="26" spans="1:11" ht="15.75" customHeight="1"/>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K1"/>
    <mergeCell ref="A2:K2"/>
  </mergeCells>
  <phoneticPr fontId="10" type="noConversion"/>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0"/>
  <sheetViews>
    <sheetView showGridLines="0" workbookViewId="0">
      <selection sqref="A1:H1"/>
    </sheetView>
  </sheetViews>
  <sheetFormatPr defaultColWidth="14.42578125" defaultRowHeight="15" customHeight="1"/>
  <cols>
    <col min="1" max="1" width="18" customWidth="1"/>
    <col min="2" max="2" width="20" customWidth="1"/>
    <col min="3" max="3" width="30" customWidth="1"/>
    <col min="4" max="5" width="26" customWidth="1"/>
    <col min="6" max="7" width="28" customWidth="1"/>
    <col min="8" max="8" width="42" customWidth="1"/>
    <col min="9" max="26" width="8.7109375" customWidth="1"/>
  </cols>
  <sheetData>
    <row r="1" spans="1:8" ht="24" customHeight="1">
      <c r="A1" s="25" t="s">
        <v>1021</v>
      </c>
      <c r="B1" s="26"/>
      <c r="C1" s="26"/>
      <c r="D1" s="26"/>
      <c r="E1" s="26"/>
      <c r="F1" s="26"/>
      <c r="G1" s="26"/>
      <c r="H1" s="27"/>
    </row>
    <row r="2" spans="1:8" ht="24" customHeight="1">
      <c r="A2" s="28" t="s">
        <v>1022</v>
      </c>
      <c r="B2" s="26"/>
      <c r="C2" s="26"/>
      <c r="D2" s="26"/>
      <c r="E2" s="26"/>
      <c r="F2" s="26"/>
      <c r="G2" s="26"/>
      <c r="H2" s="27"/>
    </row>
    <row r="3" spans="1:8" ht="7.5" customHeight="1"/>
    <row r="4" spans="1:8" ht="30" customHeight="1">
      <c r="A4" s="1" t="s">
        <v>530</v>
      </c>
      <c r="B4" s="1" t="s">
        <v>1023</v>
      </c>
      <c r="C4" s="1" t="s">
        <v>901</v>
      </c>
      <c r="D4" s="1" t="s">
        <v>1024</v>
      </c>
      <c r="E4" s="1" t="s">
        <v>1025</v>
      </c>
      <c r="F4" s="1" t="s">
        <v>1026</v>
      </c>
      <c r="G4" s="1" t="s">
        <v>1027</v>
      </c>
      <c r="H4" s="1" t="s">
        <v>536</v>
      </c>
    </row>
    <row r="5" spans="1:8" ht="73.5" customHeight="1">
      <c r="A5" s="2" t="s">
        <v>1028</v>
      </c>
      <c r="B5" s="2" t="s">
        <v>1029</v>
      </c>
      <c r="C5" s="2" t="s">
        <v>1030</v>
      </c>
      <c r="D5" s="2" t="s">
        <v>1031</v>
      </c>
      <c r="E5" s="2" t="s">
        <v>1032</v>
      </c>
      <c r="F5" s="2" t="s">
        <v>1033</v>
      </c>
      <c r="G5" s="2" t="s">
        <v>1034</v>
      </c>
      <c r="H5" s="2" t="s">
        <v>1035</v>
      </c>
    </row>
    <row r="6" spans="1:8" ht="45.75" customHeight="1">
      <c r="A6" s="3" t="s">
        <v>1036</v>
      </c>
      <c r="B6" s="3" t="s">
        <v>1037</v>
      </c>
      <c r="C6" s="3" t="s">
        <v>1038</v>
      </c>
      <c r="D6" s="3" t="s">
        <v>1039</v>
      </c>
      <c r="E6" s="3" t="s">
        <v>1040</v>
      </c>
      <c r="F6" s="3" t="s">
        <v>1041</v>
      </c>
      <c r="G6" s="3" t="s">
        <v>1042</v>
      </c>
      <c r="H6" s="3" t="s">
        <v>571</v>
      </c>
    </row>
    <row r="7" spans="1:8" ht="73.5" customHeight="1">
      <c r="A7" s="2" t="s">
        <v>1043</v>
      </c>
      <c r="B7" s="2" t="s">
        <v>1044</v>
      </c>
      <c r="C7" s="2" t="s">
        <v>1045</v>
      </c>
      <c r="D7" s="2" t="s">
        <v>1046</v>
      </c>
      <c r="E7" s="2" t="s">
        <v>1047</v>
      </c>
      <c r="F7" s="2" t="s">
        <v>1048</v>
      </c>
      <c r="G7" s="2" t="s">
        <v>1049</v>
      </c>
      <c r="H7" s="2" t="s">
        <v>1050</v>
      </c>
    </row>
    <row r="8" spans="1:8" ht="31.5" customHeight="1">
      <c r="A8" s="3" t="s">
        <v>1051</v>
      </c>
      <c r="B8" s="3" t="s">
        <v>1052</v>
      </c>
      <c r="C8" s="3" t="s">
        <v>1053</v>
      </c>
      <c r="D8" s="3" t="s">
        <v>1054</v>
      </c>
      <c r="E8" s="3" t="s">
        <v>1055</v>
      </c>
      <c r="F8" s="3" t="s">
        <v>1056</v>
      </c>
      <c r="G8" s="3" t="s">
        <v>1057</v>
      </c>
      <c r="H8" s="3" t="s">
        <v>571</v>
      </c>
    </row>
    <row r="9" spans="1:8" ht="31.5" customHeight="1">
      <c r="A9" s="2" t="s">
        <v>1058</v>
      </c>
      <c r="B9" s="2" t="s">
        <v>1059</v>
      </c>
      <c r="C9" s="2" t="s">
        <v>1060</v>
      </c>
      <c r="D9" s="2" t="s">
        <v>1061</v>
      </c>
      <c r="E9" s="2" t="s">
        <v>1062</v>
      </c>
      <c r="F9" s="2" t="s">
        <v>1063</v>
      </c>
      <c r="G9" s="2" t="s">
        <v>1064</v>
      </c>
      <c r="H9" s="2" t="s">
        <v>571</v>
      </c>
    </row>
    <row r="10" spans="1:8" ht="31.5" customHeight="1">
      <c r="A10" s="3" t="s">
        <v>1065</v>
      </c>
      <c r="B10" s="3" t="s">
        <v>1066</v>
      </c>
      <c r="C10" s="3" t="s">
        <v>1067</v>
      </c>
      <c r="D10" s="3" t="s">
        <v>1068</v>
      </c>
      <c r="E10" s="3" t="s">
        <v>1069</v>
      </c>
      <c r="F10" s="3" t="s">
        <v>1070</v>
      </c>
      <c r="G10" s="3" t="s">
        <v>1071</v>
      </c>
      <c r="H10" s="3" t="s">
        <v>1050</v>
      </c>
    </row>
    <row r="11" spans="1:8" ht="45.75" customHeight="1">
      <c r="A11" s="2" t="s">
        <v>1072</v>
      </c>
      <c r="B11" s="2" t="s">
        <v>1073</v>
      </c>
      <c r="C11" s="2" t="s">
        <v>1074</v>
      </c>
      <c r="D11" s="2" t="s">
        <v>1075</v>
      </c>
      <c r="E11" s="2" t="s">
        <v>1076</v>
      </c>
      <c r="F11" s="2" t="s">
        <v>1077</v>
      </c>
      <c r="G11" s="2" t="s">
        <v>1078</v>
      </c>
      <c r="H11" s="2" t="s">
        <v>1035</v>
      </c>
    </row>
    <row r="12" spans="1:8" ht="72" customHeight="1">
      <c r="A12" s="2" t="s">
        <v>1079</v>
      </c>
      <c r="B12" s="2" t="s">
        <v>1029</v>
      </c>
      <c r="C12" s="2" t="s">
        <v>1080</v>
      </c>
      <c r="D12" s="2" t="s">
        <v>1081</v>
      </c>
      <c r="E12" s="2" t="s">
        <v>1082</v>
      </c>
      <c r="F12" s="2" t="s">
        <v>1083</v>
      </c>
      <c r="G12" s="2" t="s">
        <v>1084</v>
      </c>
      <c r="H12" s="2" t="s">
        <v>1035</v>
      </c>
    </row>
    <row r="13" spans="1:8" ht="72" customHeight="1">
      <c r="A13" s="2" t="s">
        <v>1085</v>
      </c>
      <c r="B13" s="2" t="s">
        <v>1086</v>
      </c>
      <c r="C13" s="2" t="s">
        <v>1087</v>
      </c>
      <c r="D13" s="2" t="s">
        <v>1088</v>
      </c>
      <c r="E13" s="2" t="s">
        <v>1089</v>
      </c>
      <c r="F13" s="2" t="s">
        <v>1090</v>
      </c>
      <c r="G13" s="2" t="s">
        <v>1091</v>
      </c>
      <c r="H13" s="2" t="s">
        <v>1092</v>
      </c>
    </row>
    <row r="14" spans="1:8" ht="72" customHeight="1">
      <c r="A14" s="2" t="s">
        <v>1093</v>
      </c>
      <c r="B14" s="2" t="s">
        <v>1094</v>
      </c>
      <c r="C14" s="2" t="s">
        <v>1067</v>
      </c>
      <c r="D14" s="2" t="s">
        <v>1095</v>
      </c>
      <c r="E14" s="2" t="s">
        <v>1096</v>
      </c>
      <c r="F14" s="2" t="s">
        <v>1097</v>
      </c>
      <c r="G14" s="2" t="s">
        <v>1098</v>
      </c>
      <c r="H14" s="2" t="s">
        <v>1050</v>
      </c>
    </row>
    <row r="15" spans="1:8" ht="72" customHeight="1">
      <c r="A15" s="2" t="s">
        <v>1099</v>
      </c>
      <c r="B15" s="2" t="s">
        <v>1100</v>
      </c>
      <c r="C15" s="2" t="s">
        <v>1101</v>
      </c>
      <c r="D15" s="2" t="s">
        <v>1102</v>
      </c>
      <c r="E15" s="2" t="s">
        <v>1103</v>
      </c>
      <c r="F15" s="2" t="s">
        <v>1104</v>
      </c>
      <c r="G15" s="2" t="s">
        <v>1105</v>
      </c>
      <c r="H15" s="2" t="s">
        <v>1035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H1"/>
    <mergeCell ref="A2:H2"/>
  </mergeCells>
  <phoneticPr fontId="10" type="noConversion"/>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00"/>
  <sheetViews>
    <sheetView showGridLines="0" topLeftCell="A16" workbookViewId="0">
      <selection sqref="A1:I1"/>
    </sheetView>
  </sheetViews>
  <sheetFormatPr defaultColWidth="14.42578125" defaultRowHeight="15" customHeight="1"/>
  <cols>
    <col min="1" max="1" width="14" customWidth="1"/>
    <col min="2" max="3" width="20" customWidth="1"/>
    <col min="4" max="4" width="24" customWidth="1"/>
    <col min="5" max="5" width="30" customWidth="1"/>
    <col min="6" max="6" width="36" customWidth="1"/>
    <col min="7" max="7" width="16" customWidth="1"/>
    <col min="8" max="8" width="20" customWidth="1"/>
    <col min="9" max="9" width="44" customWidth="1"/>
    <col min="10" max="26" width="8.7109375" customWidth="1"/>
  </cols>
  <sheetData>
    <row r="1" spans="1:10" ht="24" customHeight="1">
      <c r="A1" s="25" t="s">
        <v>1106</v>
      </c>
      <c r="B1" s="26"/>
      <c r="C1" s="26"/>
      <c r="D1" s="26"/>
      <c r="E1" s="26"/>
      <c r="F1" s="26"/>
      <c r="G1" s="26"/>
      <c r="H1" s="26"/>
      <c r="I1" s="27"/>
    </row>
    <row r="2" spans="1:10" ht="33.75" customHeight="1">
      <c r="A2" s="28" t="s">
        <v>1107</v>
      </c>
      <c r="B2" s="26"/>
      <c r="C2" s="26"/>
      <c r="D2" s="26"/>
      <c r="E2" s="26"/>
      <c r="F2" s="26"/>
      <c r="G2" s="26"/>
      <c r="H2" s="26"/>
      <c r="I2" s="27"/>
    </row>
    <row r="3" spans="1:10" ht="7.5" customHeight="1"/>
    <row r="4" spans="1:10" ht="30" customHeight="1">
      <c r="A4" s="1" t="s">
        <v>530</v>
      </c>
      <c r="B4" s="1" t="s">
        <v>1108</v>
      </c>
      <c r="C4" s="1" t="s">
        <v>1109</v>
      </c>
      <c r="D4" s="1" t="s">
        <v>1110</v>
      </c>
      <c r="E4" s="1" t="s">
        <v>1111</v>
      </c>
      <c r="F4" s="1" t="s">
        <v>1112</v>
      </c>
      <c r="G4" s="1" t="s">
        <v>1113</v>
      </c>
      <c r="H4" s="1" t="s">
        <v>1114</v>
      </c>
      <c r="I4" s="1" t="s">
        <v>536</v>
      </c>
    </row>
    <row r="5" spans="1:10" ht="31.5" customHeight="1">
      <c r="A5" s="2" t="s">
        <v>1115</v>
      </c>
      <c r="B5" s="2" t="s">
        <v>1116</v>
      </c>
      <c r="C5" s="2" t="s">
        <v>605</v>
      </c>
      <c r="D5" s="2" t="s">
        <v>1117</v>
      </c>
      <c r="E5" s="2" t="s">
        <v>1118</v>
      </c>
      <c r="F5" s="2" t="s">
        <v>1119</v>
      </c>
      <c r="G5" s="2" t="s">
        <v>1120</v>
      </c>
      <c r="H5" s="2" t="s">
        <v>1121</v>
      </c>
      <c r="I5" s="2" t="s">
        <v>612</v>
      </c>
      <c r="J5" s="4"/>
    </row>
    <row r="6" spans="1:10" ht="45.75" customHeight="1">
      <c r="A6" s="3" t="s">
        <v>1115</v>
      </c>
      <c r="B6" s="3" t="s">
        <v>1122</v>
      </c>
      <c r="C6" s="3" t="s">
        <v>1123</v>
      </c>
      <c r="D6" s="3" t="s">
        <v>1124</v>
      </c>
      <c r="E6" s="3" t="s">
        <v>1125</v>
      </c>
      <c r="F6" s="3" t="s">
        <v>1126</v>
      </c>
      <c r="G6" s="3" t="s">
        <v>1120</v>
      </c>
      <c r="H6" s="3" t="s">
        <v>1121</v>
      </c>
      <c r="I6" s="3" t="s">
        <v>603</v>
      </c>
      <c r="J6" s="4"/>
    </row>
    <row r="7" spans="1:10" ht="31.5" customHeight="1">
      <c r="A7" s="2" t="s">
        <v>1115</v>
      </c>
      <c r="B7" s="2" t="s">
        <v>1127</v>
      </c>
      <c r="C7" s="2" t="s">
        <v>1128</v>
      </c>
      <c r="D7" s="2" t="s">
        <v>1129</v>
      </c>
      <c r="E7" s="2" t="s">
        <v>1130</v>
      </c>
      <c r="F7" s="2" t="s">
        <v>1131</v>
      </c>
      <c r="G7" s="2" t="s">
        <v>1120</v>
      </c>
      <c r="H7" s="2" t="s">
        <v>1132</v>
      </c>
      <c r="I7" s="2" t="s">
        <v>631</v>
      </c>
      <c r="J7" s="4"/>
    </row>
    <row r="8" spans="1:10" ht="21.75" customHeight="1">
      <c r="A8" s="3" t="s">
        <v>1115</v>
      </c>
      <c r="B8" s="3" t="s">
        <v>1133</v>
      </c>
      <c r="C8" s="3" t="s">
        <v>1134</v>
      </c>
      <c r="D8" s="3" t="s">
        <v>1135</v>
      </c>
      <c r="E8" s="3" t="s">
        <v>1136</v>
      </c>
      <c r="F8" s="3" t="s">
        <v>1137</v>
      </c>
      <c r="G8" s="3" t="s">
        <v>1120</v>
      </c>
      <c r="H8" s="3" t="s">
        <v>1138</v>
      </c>
      <c r="I8" s="3" t="s">
        <v>1139</v>
      </c>
      <c r="J8" s="4"/>
    </row>
    <row r="9" spans="1:10" ht="31.5" customHeight="1">
      <c r="A9" s="2" t="s">
        <v>1115</v>
      </c>
      <c r="B9" s="2" t="s">
        <v>1140</v>
      </c>
      <c r="C9" s="2" t="s">
        <v>1141</v>
      </c>
      <c r="D9" s="2" t="s">
        <v>1142</v>
      </c>
      <c r="E9" s="2" t="s">
        <v>1143</v>
      </c>
      <c r="F9" s="2" t="s">
        <v>1144</v>
      </c>
      <c r="G9" s="2" t="s">
        <v>1120</v>
      </c>
      <c r="H9" s="2" t="s">
        <v>1121</v>
      </c>
      <c r="I9" s="2" t="s">
        <v>1145</v>
      </c>
      <c r="J9" s="4"/>
    </row>
    <row r="10" spans="1:10" ht="31.5" customHeight="1">
      <c r="A10" s="3" t="s">
        <v>1115</v>
      </c>
      <c r="B10" s="3" t="s">
        <v>1146</v>
      </c>
      <c r="C10" s="3" t="s">
        <v>1147</v>
      </c>
      <c r="D10" s="3" t="s">
        <v>1148</v>
      </c>
      <c r="E10" s="3" t="s">
        <v>1149</v>
      </c>
      <c r="F10" s="3" t="s">
        <v>1150</v>
      </c>
      <c r="G10" s="3" t="s">
        <v>1120</v>
      </c>
      <c r="H10" s="3" t="s">
        <v>1151</v>
      </c>
      <c r="I10" s="3" t="s">
        <v>552</v>
      </c>
      <c r="J10" s="4"/>
    </row>
    <row r="11" spans="1:10" ht="31.5" customHeight="1">
      <c r="A11" s="2" t="s">
        <v>1152</v>
      </c>
      <c r="B11" s="2" t="s">
        <v>1153</v>
      </c>
      <c r="C11" s="2" t="s">
        <v>1154</v>
      </c>
      <c r="D11" s="2" t="s">
        <v>1155</v>
      </c>
      <c r="E11" s="2" t="s">
        <v>1156</v>
      </c>
      <c r="F11" s="2" t="s">
        <v>1157</v>
      </c>
      <c r="G11" s="2" t="s">
        <v>1120</v>
      </c>
      <c r="H11" s="2" t="s">
        <v>1121</v>
      </c>
      <c r="I11" s="2" t="s">
        <v>552</v>
      </c>
      <c r="J11" s="4"/>
    </row>
    <row r="12" spans="1:10" ht="31.5" customHeight="1">
      <c r="A12" s="3" t="s">
        <v>1152</v>
      </c>
      <c r="B12" s="3" t="s">
        <v>1158</v>
      </c>
      <c r="C12" s="3" t="s">
        <v>1154</v>
      </c>
      <c r="D12" s="3" t="s">
        <v>1159</v>
      </c>
      <c r="E12" s="3" t="s">
        <v>1160</v>
      </c>
      <c r="F12" s="3" t="s">
        <v>1161</v>
      </c>
      <c r="G12" s="3" t="s">
        <v>1120</v>
      </c>
      <c r="H12" s="3" t="s">
        <v>1121</v>
      </c>
      <c r="I12" s="3" t="s">
        <v>552</v>
      </c>
      <c r="J12" s="4"/>
    </row>
    <row r="13" spans="1:10" ht="31.5" customHeight="1">
      <c r="A13" s="2" t="s">
        <v>1152</v>
      </c>
      <c r="B13" s="2" t="s">
        <v>1162</v>
      </c>
      <c r="C13" s="2" t="s">
        <v>1154</v>
      </c>
      <c r="D13" s="2" t="s">
        <v>1163</v>
      </c>
      <c r="E13" s="2" t="s">
        <v>1164</v>
      </c>
      <c r="F13" s="2" t="s">
        <v>1165</v>
      </c>
      <c r="G13" s="2" t="s">
        <v>1120</v>
      </c>
      <c r="H13" s="2" t="s">
        <v>1121</v>
      </c>
      <c r="I13" s="2" t="s">
        <v>552</v>
      </c>
      <c r="J13" s="4"/>
    </row>
    <row r="14" spans="1:10" ht="31.5" customHeight="1">
      <c r="A14" s="3" t="s">
        <v>1152</v>
      </c>
      <c r="B14" s="3" t="s">
        <v>1166</v>
      </c>
      <c r="C14" s="3" t="s">
        <v>1154</v>
      </c>
      <c r="D14" s="3" t="s">
        <v>1167</v>
      </c>
      <c r="E14" s="3" t="s">
        <v>1168</v>
      </c>
      <c r="F14" s="3" t="s">
        <v>1169</v>
      </c>
      <c r="G14" s="3" t="s">
        <v>1120</v>
      </c>
      <c r="H14" s="3" t="s">
        <v>1121</v>
      </c>
      <c r="I14" s="3" t="s">
        <v>552</v>
      </c>
      <c r="J14" s="4"/>
    </row>
    <row r="15" spans="1:10" ht="45.75" customHeight="1">
      <c r="A15" s="2" t="s">
        <v>1152</v>
      </c>
      <c r="B15" s="2" t="s">
        <v>62</v>
      </c>
      <c r="C15" s="2" t="s">
        <v>1154</v>
      </c>
      <c r="D15" s="2" t="s">
        <v>1170</v>
      </c>
      <c r="E15" s="2" t="s">
        <v>1171</v>
      </c>
      <c r="F15" s="2" t="s">
        <v>1172</v>
      </c>
      <c r="G15" s="2" t="s">
        <v>1120</v>
      </c>
      <c r="H15" s="2" t="s">
        <v>1121</v>
      </c>
      <c r="I15" s="2" t="s">
        <v>552</v>
      </c>
      <c r="J15" s="4"/>
    </row>
    <row r="16" spans="1:10" ht="31.5" customHeight="1">
      <c r="A16" s="3" t="s">
        <v>1152</v>
      </c>
      <c r="B16" s="3" t="s">
        <v>418</v>
      </c>
      <c r="C16" s="3" t="s">
        <v>1154</v>
      </c>
      <c r="D16" s="3" t="s">
        <v>1173</v>
      </c>
      <c r="E16" s="3" t="s">
        <v>1174</v>
      </c>
      <c r="F16" s="3" t="s">
        <v>1175</v>
      </c>
      <c r="G16" s="3" t="s">
        <v>1120</v>
      </c>
      <c r="H16" s="3" t="s">
        <v>1121</v>
      </c>
      <c r="I16" s="3" t="s">
        <v>552</v>
      </c>
      <c r="J16" s="4"/>
    </row>
    <row r="17" spans="1:10" ht="31.5" customHeight="1">
      <c r="A17" s="2" t="s">
        <v>1152</v>
      </c>
      <c r="B17" s="2" t="s">
        <v>430</v>
      </c>
      <c r="C17" s="2" t="s">
        <v>1154</v>
      </c>
      <c r="D17" s="2" t="s">
        <v>1176</v>
      </c>
      <c r="E17" s="2" t="s">
        <v>1177</v>
      </c>
      <c r="F17" s="2" t="s">
        <v>1178</v>
      </c>
      <c r="G17" s="2" t="s">
        <v>1120</v>
      </c>
      <c r="H17" s="2" t="s">
        <v>1121</v>
      </c>
      <c r="I17" s="2" t="s">
        <v>552</v>
      </c>
      <c r="J17" s="4"/>
    </row>
    <row r="18" spans="1:10" ht="21.75" customHeight="1">
      <c r="A18" s="3" t="s">
        <v>1152</v>
      </c>
      <c r="B18" s="3" t="s">
        <v>439</v>
      </c>
      <c r="C18" s="3" t="s">
        <v>1154</v>
      </c>
      <c r="D18" s="3" t="s">
        <v>1179</v>
      </c>
      <c r="E18" s="3" t="s">
        <v>1180</v>
      </c>
      <c r="F18" s="3" t="s">
        <v>1181</v>
      </c>
      <c r="G18" s="3" t="s">
        <v>1120</v>
      </c>
      <c r="H18" s="3" t="s">
        <v>1121</v>
      </c>
      <c r="I18" s="3" t="s">
        <v>552</v>
      </c>
      <c r="J18" s="4"/>
    </row>
    <row r="19" spans="1:10" ht="31.5" customHeight="1">
      <c r="A19" s="2" t="s">
        <v>1152</v>
      </c>
      <c r="B19" s="2" t="s">
        <v>459</v>
      </c>
      <c r="C19" s="2" t="s">
        <v>1182</v>
      </c>
      <c r="D19" s="2" t="s">
        <v>1183</v>
      </c>
      <c r="E19" s="2" t="s">
        <v>1184</v>
      </c>
      <c r="F19" s="2" t="s">
        <v>1185</v>
      </c>
      <c r="G19" s="2" t="s">
        <v>1120</v>
      </c>
      <c r="H19" s="2" t="s">
        <v>1121</v>
      </c>
      <c r="I19" s="2" t="s">
        <v>552</v>
      </c>
      <c r="J19" s="4"/>
    </row>
    <row r="20" spans="1:10" ht="45.75" customHeight="1">
      <c r="A20" s="3" t="s">
        <v>1152</v>
      </c>
      <c r="B20" s="3" t="s">
        <v>1186</v>
      </c>
      <c r="C20" s="3" t="s">
        <v>1154</v>
      </c>
      <c r="D20" s="3" t="s">
        <v>1187</v>
      </c>
      <c r="E20" s="3" t="s">
        <v>1188</v>
      </c>
      <c r="F20" s="3" t="s">
        <v>1189</v>
      </c>
      <c r="G20" s="3" t="s">
        <v>1120</v>
      </c>
      <c r="H20" s="3" t="s">
        <v>1121</v>
      </c>
      <c r="I20" s="3" t="s">
        <v>552</v>
      </c>
      <c r="J20" s="4"/>
    </row>
    <row r="21" spans="1:10" ht="31.5" customHeight="1">
      <c r="A21" s="2" t="s">
        <v>1152</v>
      </c>
      <c r="B21" s="2" t="s">
        <v>1190</v>
      </c>
      <c r="C21" s="2" t="s">
        <v>1154</v>
      </c>
      <c r="D21" s="2" t="s">
        <v>1191</v>
      </c>
      <c r="E21" s="2" t="s">
        <v>1192</v>
      </c>
      <c r="F21" s="2" t="s">
        <v>1193</v>
      </c>
      <c r="G21" s="2" t="s">
        <v>1120</v>
      </c>
      <c r="H21" s="2" t="s">
        <v>1121</v>
      </c>
      <c r="I21" s="2" t="s">
        <v>552</v>
      </c>
      <c r="J21" s="4"/>
    </row>
    <row r="22" spans="1:10" ht="31.5" customHeight="1">
      <c r="A22" s="3" t="s">
        <v>1152</v>
      </c>
      <c r="B22" s="3" t="s">
        <v>1194</v>
      </c>
      <c r="C22" s="3" t="s">
        <v>1182</v>
      </c>
      <c r="D22" s="3" t="s">
        <v>1195</v>
      </c>
      <c r="E22" s="3" t="s">
        <v>1196</v>
      </c>
      <c r="F22" s="3" t="s">
        <v>1197</v>
      </c>
      <c r="G22" s="3" t="s">
        <v>1120</v>
      </c>
      <c r="H22" s="3" t="s">
        <v>1121</v>
      </c>
      <c r="I22" s="3" t="s">
        <v>552</v>
      </c>
      <c r="J22" s="4"/>
    </row>
    <row r="23" spans="1:10" ht="31.5" customHeight="1">
      <c r="A23" s="2" t="s">
        <v>1152</v>
      </c>
      <c r="B23" s="2" t="s">
        <v>52</v>
      </c>
      <c r="C23" s="2" t="s">
        <v>1182</v>
      </c>
      <c r="D23" s="2" t="s">
        <v>1198</v>
      </c>
      <c r="E23" s="2" t="s">
        <v>505</v>
      </c>
      <c r="F23" s="2" t="s">
        <v>1199</v>
      </c>
      <c r="G23" s="2" t="s">
        <v>1120</v>
      </c>
      <c r="H23" s="2" t="s">
        <v>1121</v>
      </c>
      <c r="I23" s="2" t="s">
        <v>552</v>
      </c>
      <c r="J23" s="4"/>
    </row>
    <row r="24" spans="1:10" ht="31.5" customHeight="1">
      <c r="A24" s="3" t="s">
        <v>1152</v>
      </c>
      <c r="B24" s="3" t="s">
        <v>140</v>
      </c>
      <c r="C24" s="3" t="s">
        <v>1154</v>
      </c>
      <c r="D24" s="3" t="s">
        <v>1200</v>
      </c>
      <c r="E24" s="3" t="s">
        <v>1201</v>
      </c>
      <c r="F24" s="3" t="s">
        <v>1202</v>
      </c>
      <c r="G24" s="3" t="s">
        <v>1120</v>
      </c>
      <c r="H24" s="3" t="s">
        <v>1121</v>
      </c>
      <c r="I24" s="3" t="s">
        <v>552</v>
      </c>
      <c r="J24" s="4"/>
    </row>
    <row r="25" spans="1:10" ht="72" customHeight="1">
      <c r="A25" s="2" t="s">
        <v>1203</v>
      </c>
      <c r="B25" s="2" t="s">
        <v>1204</v>
      </c>
      <c r="C25" s="2" t="s">
        <v>1205</v>
      </c>
      <c r="D25" s="2" t="s">
        <v>1206</v>
      </c>
      <c r="E25" s="2" t="s">
        <v>1143</v>
      </c>
      <c r="F25" s="2" t="s">
        <v>1207</v>
      </c>
      <c r="G25" s="2" t="s">
        <v>1208</v>
      </c>
      <c r="H25" s="2" t="s">
        <v>1120</v>
      </c>
      <c r="I25" s="2" t="s">
        <v>1145</v>
      </c>
      <c r="J25" s="2" t="s">
        <v>1145</v>
      </c>
    </row>
    <row r="26" spans="1:10" ht="72" customHeight="1">
      <c r="A26" s="2" t="s">
        <v>1203</v>
      </c>
      <c r="B26" s="2" t="s">
        <v>1209</v>
      </c>
      <c r="C26" s="2" t="s">
        <v>1210</v>
      </c>
      <c r="D26" s="2" t="s">
        <v>1211</v>
      </c>
      <c r="E26" s="2" t="s">
        <v>1212</v>
      </c>
      <c r="F26" s="2" t="s">
        <v>1213</v>
      </c>
      <c r="G26" s="2" t="s">
        <v>1214</v>
      </c>
      <c r="H26" s="2" t="s">
        <v>1120</v>
      </c>
      <c r="I26" s="2" t="s">
        <v>1145</v>
      </c>
      <c r="J26" s="2" t="s">
        <v>552</v>
      </c>
    </row>
    <row r="27" spans="1:10" ht="72" customHeight="1">
      <c r="A27" s="2" t="s">
        <v>1215</v>
      </c>
      <c r="B27" s="2" t="s">
        <v>1216</v>
      </c>
      <c r="C27" s="2" t="s">
        <v>1217</v>
      </c>
      <c r="D27" s="2" t="s">
        <v>1218</v>
      </c>
      <c r="E27" s="2" t="s">
        <v>1219</v>
      </c>
      <c r="F27" s="2" t="s">
        <v>1220</v>
      </c>
      <c r="G27" s="2" t="s">
        <v>1221</v>
      </c>
      <c r="H27" s="2" t="s">
        <v>1120</v>
      </c>
      <c r="I27" s="2" t="s">
        <v>1138</v>
      </c>
      <c r="J27" s="2" t="s">
        <v>552</v>
      </c>
    </row>
    <row r="28" spans="1:10" ht="72" customHeight="1">
      <c r="A28" s="2" t="s">
        <v>1215</v>
      </c>
      <c r="B28" s="2" t="s">
        <v>1222</v>
      </c>
      <c r="C28" s="2" t="s">
        <v>1217</v>
      </c>
      <c r="D28" s="2" t="s">
        <v>1223</v>
      </c>
      <c r="E28" s="2" t="s">
        <v>1224</v>
      </c>
      <c r="F28" s="2" t="s">
        <v>1225</v>
      </c>
      <c r="G28" s="2" t="s">
        <v>1226</v>
      </c>
      <c r="H28" s="2" t="s">
        <v>1120</v>
      </c>
      <c r="I28" s="2" t="s">
        <v>1121</v>
      </c>
      <c r="J28" s="2" t="s">
        <v>552</v>
      </c>
    </row>
    <row r="29" spans="1:10" ht="72" customHeight="1">
      <c r="A29" s="2" t="s">
        <v>1152</v>
      </c>
      <c r="B29" s="2" t="s">
        <v>1227</v>
      </c>
      <c r="C29" s="2" t="s">
        <v>1154</v>
      </c>
      <c r="D29" s="2" t="s">
        <v>1228</v>
      </c>
      <c r="E29" s="2" t="s">
        <v>1229</v>
      </c>
      <c r="F29" s="2" t="s">
        <v>1230</v>
      </c>
      <c r="G29" s="2" t="s">
        <v>1120</v>
      </c>
      <c r="H29" s="2" t="s">
        <v>1121</v>
      </c>
      <c r="I29" s="2" t="s">
        <v>631</v>
      </c>
      <c r="J29" s="4"/>
    </row>
    <row r="30" spans="1:10" ht="72" customHeight="1">
      <c r="A30" s="2" t="s">
        <v>1152</v>
      </c>
      <c r="B30" s="2" t="s">
        <v>500</v>
      </c>
      <c r="C30" s="2" t="s">
        <v>1154</v>
      </c>
      <c r="D30" s="2" t="s">
        <v>1231</v>
      </c>
      <c r="E30" s="2" t="s">
        <v>496</v>
      </c>
      <c r="F30" s="2" t="s">
        <v>1232</v>
      </c>
      <c r="G30" s="2" t="s">
        <v>1120</v>
      </c>
      <c r="H30" s="2" t="s">
        <v>1121</v>
      </c>
      <c r="I30" s="2" t="s">
        <v>631</v>
      </c>
      <c r="J30" s="4"/>
    </row>
    <row r="31" spans="1:10" ht="72" customHeight="1">
      <c r="A31" s="2" t="s">
        <v>1152</v>
      </c>
      <c r="B31" s="2" t="s">
        <v>517</v>
      </c>
      <c r="C31" s="2" t="s">
        <v>1182</v>
      </c>
      <c r="D31" s="2" t="s">
        <v>1233</v>
      </c>
      <c r="E31" s="2" t="s">
        <v>513</v>
      </c>
      <c r="F31" s="2" t="s">
        <v>1234</v>
      </c>
      <c r="G31" s="2" t="s">
        <v>1120</v>
      </c>
      <c r="H31" s="2" t="s">
        <v>1121</v>
      </c>
      <c r="I31" s="2" t="s">
        <v>631</v>
      </c>
      <c r="J31" s="4"/>
    </row>
    <row r="32" spans="1:10" ht="72" customHeight="1">
      <c r="A32" s="2" t="s">
        <v>1235</v>
      </c>
      <c r="B32" s="2" t="s">
        <v>1236</v>
      </c>
      <c r="C32" s="2" t="s">
        <v>1237</v>
      </c>
      <c r="D32" s="2" t="s">
        <v>1238</v>
      </c>
      <c r="E32" s="2" t="s">
        <v>1239</v>
      </c>
      <c r="F32" s="2" t="s">
        <v>1240</v>
      </c>
      <c r="G32" s="2" t="s">
        <v>1120</v>
      </c>
      <c r="H32" s="2" t="s">
        <v>1121</v>
      </c>
      <c r="I32" s="2" t="s">
        <v>552</v>
      </c>
      <c r="J32" s="4"/>
    </row>
    <row r="33" spans="1:10" ht="72" customHeight="1">
      <c r="A33" s="2" t="s">
        <v>1235</v>
      </c>
      <c r="B33" s="2" t="s">
        <v>1241</v>
      </c>
      <c r="C33" s="2" t="s">
        <v>1237</v>
      </c>
      <c r="D33" s="2" t="s">
        <v>1242</v>
      </c>
      <c r="E33" s="2" t="s">
        <v>1243</v>
      </c>
      <c r="F33" s="2" t="s">
        <v>1244</v>
      </c>
      <c r="G33" s="2" t="s">
        <v>1120</v>
      </c>
      <c r="H33" s="2" t="s">
        <v>1121</v>
      </c>
      <c r="I33" s="2" t="s">
        <v>552</v>
      </c>
      <c r="J33" s="4"/>
    </row>
    <row r="34" spans="1:10" ht="72" customHeight="1">
      <c r="A34" s="2" t="s">
        <v>1235</v>
      </c>
      <c r="B34" s="2" t="s">
        <v>1245</v>
      </c>
      <c r="C34" s="2" t="s">
        <v>1246</v>
      </c>
      <c r="D34" s="2" t="s">
        <v>1247</v>
      </c>
      <c r="E34" s="2" t="s">
        <v>1248</v>
      </c>
      <c r="F34" s="2" t="s">
        <v>1249</v>
      </c>
      <c r="G34" s="2" t="s">
        <v>1120</v>
      </c>
      <c r="H34" s="2" t="s">
        <v>1121</v>
      </c>
      <c r="I34" s="2" t="s">
        <v>552</v>
      </c>
      <c r="J34" s="4"/>
    </row>
    <row r="35" spans="1:10" ht="72" customHeight="1">
      <c r="A35" s="2" t="s">
        <v>1250</v>
      </c>
      <c r="B35" s="2" t="s">
        <v>1251</v>
      </c>
      <c r="C35" s="2" t="s">
        <v>1252</v>
      </c>
      <c r="D35" s="2" t="s">
        <v>1253</v>
      </c>
      <c r="E35" s="2" t="s">
        <v>1254</v>
      </c>
      <c r="F35" s="2" t="s">
        <v>1255</v>
      </c>
      <c r="G35" s="2" t="s">
        <v>1256</v>
      </c>
      <c r="H35" s="2" t="s">
        <v>1257</v>
      </c>
      <c r="I35" s="2" t="s">
        <v>1258</v>
      </c>
      <c r="J35" s="2" t="s">
        <v>1259</v>
      </c>
    </row>
    <row r="36" spans="1:10" ht="15.75" customHeight="1"/>
    <row r="37" spans="1:10" ht="15.75" customHeight="1"/>
    <row r="38" spans="1:10" ht="15.75" customHeight="1"/>
    <row r="39" spans="1:10" ht="15.75" customHeight="1"/>
    <row r="40" spans="1:10" ht="15.75" customHeight="1"/>
    <row r="41" spans="1:10" ht="15.75" customHeight="1"/>
    <row r="42" spans="1:10" ht="15.75" customHeight="1"/>
    <row r="43" spans="1:10" ht="15.75" customHeight="1"/>
    <row r="44" spans="1:10" ht="15.75" customHeight="1"/>
    <row r="45" spans="1:10" ht="15.75" customHeight="1"/>
    <row r="46" spans="1:10" ht="15.75" customHeight="1"/>
    <row r="47" spans="1:10" ht="15.75" customHeight="1"/>
    <row r="48" spans="1:10"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I1"/>
    <mergeCell ref="A2:I2"/>
  </mergeCells>
  <phoneticPr fontId="10" type="noConversion"/>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00"/>
  <sheetViews>
    <sheetView showGridLines="0" workbookViewId="0">
      <selection activeCell="H21" sqref="H21"/>
    </sheetView>
  </sheetViews>
  <sheetFormatPr defaultColWidth="14.42578125" defaultRowHeight="15" customHeight="1"/>
  <cols>
    <col min="1" max="1" width="10" customWidth="1"/>
    <col min="2" max="2" width="18" customWidth="1"/>
    <col min="3" max="3" width="22" customWidth="1"/>
    <col min="4" max="4" width="30" customWidth="1"/>
    <col min="5" max="5" width="20" customWidth="1"/>
    <col min="6" max="6" width="26" customWidth="1"/>
    <col min="7" max="7" width="22" customWidth="1"/>
    <col min="8" max="9" width="28" customWidth="1"/>
    <col min="10" max="26" width="8.7109375" customWidth="1"/>
  </cols>
  <sheetData>
    <row r="1" spans="1:9" ht="24" customHeight="1">
      <c r="A1" s="25" t="s">
        <v>1260</v>
      </c>
      <c r="B1" s="26"/>
      <c r="C1" s="26"/>
      <c r="D1" s="26"/>
      <c r="E1" s="26"/>
      <c r="F1" s="26"/>
      <c r="G1" s="26"/>
      <c r="H1" s="26"/>
      <c r="I1" s="27"/>
    </row>
    <row r="2" spans="1:9" ht="24" customHeight="1">
      <c r="A2" s="28" t="s">
        <v>1261</v>
      </c>
      <c r="B2" s="26"/>
      <c r="C2" s="26"/>
      <c r="D2" s="26"/>
      <c r="E2" s="26"/>
      <c r="F2" s="26"/>
      <c r="G2" s="26"/>
      <c r="H2" s="26"/>
      <c r="I2" s="27"/>
    </row>
    <row r="3" spans="1:9" ht="7.5" customHeight="1"/>
    <row r="4" spans="1:9" ht="30" customHeight="1">
      <c r="A4" s="1" t="s">
        <v>1262</v>
      </c>
      <c r="B4" s="1" t="s">
        <v>1263</v>
      </c>
      <c r="C4" s="1" t="s">
        <v>171</v>
      </c>
      <c r="D4" s="1" t="s">
        <v>1264</v>
      </c>
      <c r="E4" s="1" t="s">
        <v>173</v>
      </c>
      <c r="F4" s="1" t="s">
        <v>1265</v>
      </c>
      <c r="G4" s="1" t="s">
        <v>1266</v>
      </c>
      <c r="H4" s="1" t="s">
        <v>1267</v>
      </c>
      <c r="I4" s="1" t="s">
        <v>1268</v>
      </c>
    </row>
    <row r="5" spans="1:9" ht="31.5" customHeight="1">
      <c r="A5" s="2" t="s">
        <v>1269</v>
      </c>
      <c r="B5" s="2" t="s">
        <v>1270</v>
      </c>
      <c r="C5" s="2" t="s">
        <v>1271</v>
      </c>
      <c r="D5" s="2" t="s">
        <v>1272</v>
      </c>
      <c r="E5" s="2" t="s">
        <v>1273</v>
      </c>
      <c r="F5" s="2" t="s">
        <v>1274</v>
      </c>
      <c r="G5" s="2" t="s">
        <v>1275</v>
      </c>
      <c r="H5" s="2" t="s">
        <v>1276</v>
      </c>
      <c r="I5" s="2" t="s">
        <v>1277</v>
      </c>
    </row>
    <row r="6" spans="1:9" ht="31.5" customHeight="1">
      <c r="A6" s="3" t="s">
        <v>1278</v>
      </c>
      <c r="B6" s="3" t="s">
        <v>1279</v>
      </c>
      <c r="C6" s="3" t="s">
        <v>1280</v>
      </c>
      <c r="D6" s="3" t="s">
        <v>1281</v>
      </c>
      <c r="E6" s="3" t="s">
        <v>1282</v>
      </c>
      <c r="F6" s="3" t="s">
        <v>1283</v>
      </c>
      <c r="G6" s="3" t="s">
        <v>1284</v>
      </c>
      <c r="H6" s="3" t="s">
        <v>1285</v>
      </c>
      <c r="I6" s="3" t="s">
        <v>1286</v>
      </c>
    </row>
    <row r="7" spans="1:9" ht="31.5" customHeight="1">
      <c r="A7" s="2" t="s">
        <v>1287</v>
      </c>
      <c r="B7" s="2" t="s">
        <v>1288</v>
      </c>
      <c r="C7" s="2" t="s">
        <v>1289</v>
      </c>
      <c r="D7" s="2" t="s">
        <v>1290</v>
      </c>
      <c r="E7" s="2" t="s">
        <v>1291</v>
      </c>
      <c r="F7" s="2" t="s">
        <v>1292</v>
      </c>
      <c r="G7" s="2" t="s">
        <v>1293</v>
      </c>
      <c r="H7" s="2" t="s">
        <v>1294</v>
      </c>
      <c r="I7" s="2" t="s">
        <v>1295</v>
      </c>
    </row>
    <row r="8" spans="1:9" ht="31.5" customHeight="1">
      <c r="A8" s="3" t="s">
        <v>1296</v>
      </c>
      <c r="B8" s="3" t="s">
        <v>1297</v>
      </c>
      <c r="C8" s="3" t="s">
        <v>1298</v>
      </c>
      <c r="D8" s="3" t="s">
        <v>1299</v>
      </c>
      <c r="E8" s="3" t="s">
        <v>1300</v>
      </c>
      <c r="F8" s="3" t="s">
        <v>1301</v>
      </c>
      <c r="G8" s="3" t="s">
        <v>1302</v>
      </c>
      <c r="H8" s="3" t="s">
        <v>1303</v>
      </c>
      <c r="I8" s="3" t="s">
        <v>1304</v>
      </c>
    </row>
    <row r="9" spans="1:9" ht="31.5" customHeight="1">
      <c r="A9" s="2" t="s">
        <v>1305</v>
      </c>
      <c r="B9" s="2" t="s">
        <v>1306</v>
      </c>
      <c r="C9" s="2" t="s">
        <v>1307</v>
      </c>
      <c r="D9" s="2" t="s">
        <v>1308</v>
      </c>
      <c r="E9" s="2" t="s">
        <v>1309</v>
      </c>
      <c r="F9" s="2" t="s">
        <v>1310</v>
      </c>
      <c r="G9" s="2" t="s">
        <v>1311</v>
      </c>
      <c r="H9" s="2" t="s">
        <v>1312</v>
      </c>
      <c r="I9" s="2" t="s">
        <v>1313</v>
      </c>
    </row>
    <row r="10" spans="1:9" ht="31.5" customHeight="1">
      <c r="A10" s="3" t="s">
        <v>269</v>
      </c>
      <c r="B10" s="3" t="s">
        <v>1314</v>
      </c>
      <c r="C10" s="3" t="s">
        <v>1315</v>
      </c>
      <c r="D10" s="3" t="s">
        <v>1316</v>
      </c>
      <c r="E10" s="3" t="s">
        <v>1317</v>
      </c>
      <c r="F10" s="3" t="s">
        <v>1318</v>
      </c>
      <c r="G10" s="3" t="s">
        <v>1319</v>
      </c>
      <c r="H10" s="3" t="s">
        <v>1320</v>
      </c>
      <c r="I10" s="3" t="s">
        <v>1321</v>
      </c>
    </row>
    <row r="11" spans="1:9" ht="45.75" customHeight="1">
      <c r="A11" s="2" t="s">
        <v>158</v>
      </c>
      <c r="B11" s="2" t="s">
        <v>1322</v>
      </c>
      <c r="C11" s="2" t="s">
        <v>1323</v>
      </c>
      <c r="D11" s="2" t="s">
        <v>1324</v>
      </c>
      <c r="E11" s="2" t="s">
        <v>1325</v>
      </c>
      <c r="F11" s="2" t="s">
        <v>1326</v>
      </c>
      <c r="G11" s="2" t="s">
        <v>1327</v>
      </c>
      <c r="H11" s="2" t="s">
        <v>1328</v>
      </c>
      <c r="I11" s="2" t="s">
        <v>1329</v>
      </c>
    </row>
    <row r="12" spans="1:9" ht="31.5" customHeight="1">
      <c r="A12" s="3" t="s">
        <v>162</v>
      </c>
      <c r="B12" s="3" t="s">
        <v>1330</v>
      </c>
      <c r="C12" s="3" t="s">
        <v>1331</v>
      </c>
      <c r="D12" s="3" t="s">
        <v>1332</v>
      </c>
      <c r="E12" s="3" t="s">
        <v>1333</v>
      </c>
      <c r="F12" s="3" t="s">
        <v>1334</v>
      </c>
      <c r="G12" s="3" t="s">
        <v>1335</v>
      </c>
      <c r="H12" s="3" t="s">
        <v>1336</v>
      </c>
      <c r="I12" s="3" t="s">
        <v>1337</v>
      </c>
    </row>
    <row r="13" spans="1:9" ht="31.5" customHeight="1">
      <c r="A13" s="2" t="s">
        <v>325</v>
      </c>
      <c r="B13" s="2" t="s">
        <v>1338</v>
      </c>
      <c r="C13" s="2" t="s">
        <v>1339</v>
      </c>
      <c r="D13" s="2" t="s">
        <v>1340</v>
      </c>
      <c r="E13" s="2" t="s">
        <v>1341</v>
      </c>
      <c r="F13" s="2" t="s">
        <v>1342</v>
      </c>
      <c r="G13" s="2" t="s">
        <v>1343</v>
      </c>
      <c r="H13" s="2" t="s">
        <v>1344</v>
      </c>
      <c r="I13" s="2" t="s">
        <v>1345</v>
      </c>
    </row>
    <row r="14" spans="1:9" ht="31.5" customHeight="1">
      <c r="A14" s="3" t="s">
        <v>166</v>
      </c>
      <c r="B14" s="3" t="s">
        <v>1346</v>
      </c>
      <c r="C14" s="3" t="s">
        <v>1347</v>
      </c>
      <c r="D14" s="3" t="s">
        <v>1348</v>
      </c>
      <c r="E14" s="3" t="s">
        <v>1349</v>
      </c>
      <c r="F14" s="3" t="s">
        <v>1350</v>
      </c>
      <c r="G14" s="3" t="s">
        <v>1351</v>
      </c>
      <c r="H14" s="3" t="s">
        <v>1352</v>
      </c>
      <c r="I14" s="3" t="s">
        <v>1353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I1"/>
    <mergeCell ref="A2:I2"/>
  </mergeCells>
  <phoneticPr fontId="10" type="noConversion"/>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00"/>
  <sheetViews>
    <sheetView showGridLines="0" topLeftCell="A13" workbookViewId="0">
      <selection sqref="A1:I1"/>
    </sheetView>
  </sheetViews>
  <sheetFormatPr defaultColWidth="14.42578125" defaultRowHeight="15" customHeight="1"/>
  <cols>
    <col min="1" max="1" width="12" customWidth="1"/>
    <col min="2" max="2" width="10" customWidth="1"/>
    <col min="3" max="3" width="24" customWidth="1"/>
    <col min="4" max="4" width="28" customWidth="1"/>
    <col min="5" max="5" width="26" customWidth="1"/>
    <col min="6" max="6" width="34" customWidth="1"/>
    <col min="7" max="7" width="18" customWidth="1"/>
    <col min="8" max="8" width="24" customWidth="1"/>
    <col min="9" max="9" width="20" customWidth="1"/>
    <col min="10" max="26" width="8.7109375" customWidth="1"/>
  </cols>
  <sheetData>
    <row r="1" spans="1:9" ht="24" customHeight="1">
      <c r="A1" s="25" t="s">
        <v>1354</v>
      </c>
      <c r="B1" s="26"/>
      <c r="C1" s="26"/>
      <c r="D1" s="26"/>
      <c r="E1" s="26"/>
      <c r="F1" s="26"/>
      <c r="G1" s="26"/>
      <c r="H1" s="26"/>
      <c r="I1" s="27"/>
    </row>
    <row r="2" spans="1:9" ht="24" customHeight="1">
      <c r="A2" s="28" t="s">
        <v>1355</v>
      </c>
      <c r="B2" s="26"/>
      <c r="C2" s="26"/>
      <c r="D2" s="26"/>
      <c r="E2" s="26"/>
      <c r="F2" s="26"/>
      <c r="G2" s="26"/>
      <c r="H2" s="26"/>
      <c r="I2" s="27"/>
    </row>
    <row r="3" spans="1:9" ht="7.5" customHeight="1"/>
    <row r="4" spans="1:9" ht="30" customHeight="1">
      <c r="A4" s="1" t="s">
        <v>1356</v>
      </c>
      <c r="B4" s="1" t="s">
        <v>1357</v>
      </c>
      <c r="C4" s="1" t="s">
        <v>1358</v>
      </c>
      <c r="D4" s="1" t="s">
        <v>1359</v>
      </c>
      <c r="E4" s="1" t="s">
        <v>1360</v>
      </c>
      <c r="F4" s="1" t="s">
        <v>1361</v>
      </c>
      <c r="G4" s="1" t="s">
        <v>1362</v>
      </c>
      <c r="H4" s="1" t="s">
        <v>1363</v>
      </c>
      <c r="I4" s="1" t="s">
        <v>9</v>
      </c>
    </row>
    <row r="5" spans="1:9" ht="21.75" customHeight="1">
      <c r="A5" s="2" t="s">
        <v>1364</v>
      </c>
      <c r="B5" s="2" t="s">
        <v>1365</v>
      </c>
      <c r="C5" s="2" t="s">
        <v>1366</v>
      </c>
      <c r="D5" s="2" t="s">
        <v>1367</v>
      </c>
      <c r="E5" s="2" t="s">
        <v>1368</v>
      </c>
      <c r="F5" s="2" t="s">
        <v>1369</v>
      </c>
      <c r="G5" s="2" t="s">
        <v>1269</v>
      </c>
      <c r="H5" s="2" t="s">
        <v>17</v>
      </c>
      <c r="I5" s="2" t="s">
        <v>1370</v>
      </c>
    </row>
    <row r="6" spans="1:9" ht="21.75" customHeight="1">
      <c r="A6" s="3" t="s">
        <v>1371</v>
      </c>
      <c r="B6" s="3" t="s">
        <v>1365</v>
      </c>
      <c r="C6" s="3" t="s">
        <v>1372</v>
      </c>
      <c r="D6" s="3" t="s">
        <v>1373</v>
      </c>
      <c r="E6" s="3" t="s">
        <v>1374</v>
      </c>
      <c r="F6" s="3" t="s">
        <v>1375</v>
      </c>
      <c r="G6" s="3" t="s">
        <v>1278</v>
      </c>
      <c r="H6" s="3" t="s">
        <v>1309</v>
      </c>
      <c r="I6" s="3" t="s">
        <v>1376</v>
      </c>
    </row>
    <row r="7" spans="1:9" ht="31.5" customHeight="1">
      <c r="A7" s="2" t="s">
        <v>1377</v>
      </c>
      <c r="B7" s="2" t="s">
        <v>1365</v>
      </c>
      <c r="C7" s="2" t="s">
        <v>1378</v>
      </c>
      <c r="D7" s="2" t="s">
        <v>1379</v>
      </c>
      <c r="E7" s="2" t="s">
        <v>1380</v>
      </c>
      <c r="F7" s="2" t="s">
        <v>1381</v>
      </c>
      <c r="G7" s="2" t="s">
        <v>1287</v>
      </c>
      <c r="H7" s="2" t="s">
        <v>1134</v>
      </c>
      <c r="I7" s="2" t="s">
        <v>1382</v>
      </c>
    </row>
    <row r="8" spans="1:9" ht="21.75" customHeight="1">
      <c r="A8" s="3" t="s">
        <v>1383</v>
      </c>
      <c r="B8" s="3" t="s">
        <v>1365</v>
      </c>
      <c r="C8" s="3" t="s">
        <v>1384</v>
      </c>
      <c r="D8" s="3" t="s">
        <v>1385</v>
      </c>
      <c r="E8" s="3" t="s">
        <v>1386</v>
      </c>
      <c r="F8" s="3" t="s">
        <v>1387</v>
      </c>
      <c r="G8" s="3" t="s">
        <v>1287</v>
      </c>
      <c r="H8" s="3" t="s">
        <v>1309</v>
      </c>
      <c r="I8" s="3" t="s">
        <v>1388</v>
      </c>
    </row>
    <row r="9" spans="1:9" ht="21.75" customHeight="1">
      <c r="A9" s="2" t="s">
        <v>1389</v>
      </c>
      <c r="B9" s="2" t="s">
        <v>1365</v>
      </c>
      <c r="C9" s="2" t="s">
        <v>1390</v>
      </c>
      <c r="D9" s="2" t="s">
        <v>1391</v>
      </c>
      <c r="E9" s="2" t="s">
        <v>1392</v>
      </c>
      <c r="F9" s="2" t="s">
        <v>1393</v>
      </c>
      <c r="G9" s="2" t="s">
        <v>1296</v>
      </c>
      <c r="H9" s="2" t="s">
        <v>1309</v>
      </c>
      <c r="I9" s="2" t="s">
        <v>1394</v>
      </c>
    </row>
    <row r="10" spans="1:9" ht="31.5" customHeight="1">
      <c r="A10" s="3" t="s">
        <v>1395</v>
      </c>
      <c r="B10" s="3" t="s">
        <v>1396</v>
      </c>
      <c r="C10" s="3" t="s">
        <v>1397</v>
      </c>
      <c r="D10" s="3" t="s">
        <v>1398</v>
      </c>
      <c r="E10" s="3" t="s">
        <v>1399</v>
      </c>
      <c r="F10" s="3" t="s">
        <v>1400</v>
      </c>
      <c r="G10" s="3" t="s">
        <v>1296</v>
      </c>
      <c r="H10" s="3" t="s">
        <v>1309</v>
      </c>
      <c r="I10" s="3" t="s">
        <v>1401</v>
      </c>
    </row>
    <row r="11" spans="1:9" ht="31.5" customHeight="1">
      <c r="A11" s="2" t="s">
        <v>1402</v>
      </c>
      <c r="B11" s="2" t="s">
        <v>1396</v>
      </c>
      <c r="C11" s="2" t="s">
        <v>1311</v>
      </c>
      <c r="D11" s="2" t="s">
        <v>1398</v>
      </c>
      <c r="E11" s="2" t="s">
        <v>1403</v>
      </c>
      <c r="F11" s="2" t="s">
        <v>1404</v>
      </c>
      <c r="G11" s="2" t="s">
        <v>1405</v>
      </c>
      <c r="H11" s="2" t="s">
        <v>1309</v>
      </c>
      <c r="I11" s="2" t="s">
        <v>1406</v>
      </c>
    </row>
    <row r="12" spans="1:9" ht="31.5" customHeight="1">
      <c r="A12" s="3" t="s">
        <v>1407</v>
      </c>
      <c r="B12" s="3" t="s">
        <v>1396</v>
      </c>
      <c r="C12" s="3" t="s">
        <v>1408</v>
      </c>
      <c r="D12" s="3" t="s">
        <v>1398</v>
      </c>
      <c r="E12" s="3" t="s">
        <v>1409</v>
      </c>
      <c r="F12" s="3" t="s">
        <v>1410</v>
      </c>
      <c r="G12" s="3" t="s">
        <v>269</v>
      </c>
      <c r="H12" s="3" t="s">
        <v>1309</v>
      </c>
      <c r="I12" s="3" t="s">
        <v>1411</v>
      </c>
    </row>
    <row r="13" spans="1:9" ht="31.5" customHeight="1">
      <c r="A13" s="2" t="s">
        <v>1412</v>
      </c>
      <c r="B13" s="2" t="s">
        <v>1396</v>
      </c>
      <c r="C13" s="2" t="s">
        <v>1327</v>
      </c>
      <c r="D13" s="2" t="s">
        <v>1413</v>
      </c>
      <c r="E13" s="2" t="s">
        <v>1414</v>
      </c>
      <c r="F13" s="2" t="s">
        <v>1415</v>
      </c>
      <c r="G13" s="2" t="s">
        <v>158</v>
      </c>
      <c r="H13" s="2" t="s">
        <v>1309</v>
      </c>
      <c r="I13" s="2" t="s">
        <v>1416</v>
      </c>
    </row>
    <row r="14" spans="1:9" ht="31.5" customHeight="1">
      <c r="A14" s="3" t="s">
        <v>1417</v>
      </c>
      <c r="B14" s="3" t="s">
        <v>1365</v>
      </c>
      <c r="C14" s="3" t="s">
        <v>1418</v>
      </c>
      <c r="D14" s="3" t="s">
        <v>1398</v>
      </c>
      <c r="E14" s="3" t="s">
        <v>1419</v>
      </c>
      <c r="F14" s="3" t="s">
        <v>1420</v>
      </c>
      <c r="G14" s="3" t="s">
        <v>162</v>
      </c>
      <c r="H14" s="3" t="s">
        <v>478</v>
      </c>
      <c r="I14" s="3" t="s">
        <v>1421</v>
      </c>
    </row>
    <row r="15" spans="1:9" ht="31.5" customHeight="1">
      <c r="A15" s="2" t="s">
        <v>1422</v>
      </c>
      <c r="B15" s="2" t="s">
        <v>1423</v>
      </c>
      <c r="C15" s="2" t="s">
        <v>1424</v>
      </c>
      <c r="D15" s="2" t="s">
        <v>1425</v>
      </c>
      <c r="E15" s="2" t="s">
        <v>1426</v>
      </c>
      <c r="F15" s="2" t="s">
        <v>1427</v>
      </c>
      <c r="G15" s="2" t="s">
        <v>162</v>
      </c>
      <c r="H15" s="2" t="s">
        <v>1309</v>
      </c>
      <c r="I15" s="2" t="s">
        <v>1428</v>
      </c>
    </row>
    <row r="16" spans="1:9" ht="21.75" customHeight="1">
      <c r="A16" s="3" t="s">
        <v>1429</v>
      </c>
      <c r="B16" s="3" t="s">
        <v>1396</v>
      </c>
      <c r="C16" s="3" t="s">
        <v>1430</v>
      </c>
      <c r="D16" s="3" t="s">
        <v>1398</v>
      </c>
      <c r="E16" s="3" t="s">
        <v>1431</v>
      </c>
      <c r="F16" s="3" t="s">
        <v>1432</v>
      </c>
      <c r="G16" s="3" t="s">
        <v>325</v>
      </c>
      <c r="H16" s="3" t="s">
        <v>1309</v>
      </c>
      <c r="I16" s="3" t="s">
        <v>1433</v>
      </c>
    </row>
    <row r="17" spans="1:9" ht="21.75" customHeight="1">
      <c r="A17" s="2" t="s">
        <v>374</v>
      </c>
      <c r="B17" s="2" t="s">
        <v>1434</v>
      </c>
      <c r="C17" s="2" t="s">
        <v>1435</v>
      </c>
      <c r="D17" s="2" t="s">
        <v>1436</v>
      </c>
      <c r="E17" s="2" t="s">
        <v>1437</v>
      </c>
      <c r="F17" s="2" t="s">
        <v>1438</v>
      </c>
      <c r="G17" s="2" t="s">
        <v>166</v>
      </c>
      <c r="H17" s="2" t="s">
        <v>1439</v>
      </c>
      <c r="I17" s="2" t="s">
        <v>1440</v>
      </c>
    </row>
    <row r="18" spans="1:9" ht="51.75" customHeight="1">
      <c r="A18" s="2" t="s">
        <v>1441</v>
      </c>
      <c r="B18" s="2" t="s">
        <v>1365</v>
      </c>
      <c r="C18" s="2" t="s">
        <v>1442</v>
      </c>
      <c r="D18" s="2" t="s">
        <v>1309</v>
      </c>
      <c r="E18" s="2" t="s">
        <v>1443</v>
      </c>
      <c r="F18" s="2" t="s">
        <v>1444</v>
      </c>
      <c r="G18" s="2" t="s">
        <v>1269</v>
      </c>
      <c r="H18" s="2" t="s">
        <v>17</v>
      </c>
      <c r="I18" s="2" t="s">
        <v>1445</v>
      </c>
    </row>
    <row r="19" spans="1:9" ht="51.75" customHeight="1">
      <c r="A19" s="2" t="s">
        <v>1446</v>
      </c>
      <c r="B19" s="2" t="s">
        <v>1396</v>
      </c>
      <c r="C19" s="2" t="s">
        <v>1447</v>
      </c>
      <c r="D19" s="2" t="s">
        <v>1309</v>
      </c>
      <c r="E19" s="2" t="s">
        <v>1448</v>
      </c>
      <c r="F19" s="2" t="s">
        <v>1449</v>
      </c>
      <c r="G19" s="2" t="s">
        <v>1269</v>
      </c>
      <c r="H19" s="2" t="s">
        <v>1309</v>
      </c>
      <c r="I19" s="2" t="s">
        <v>1450</v>
      </c>
    </row>
    <row r="20" spans="1:9" ht="51.75" customHeight="1">
      <c r="A20" s="2" t="s">
        <v>1451</v>
      </c>
      <c r="B20" s="2" t="s">
        <v>1396</v>
      </c>
      <c r="C20" s="2" t="s">
        <v>1452</v>
      </c>
      <c r="D20" s="2" t="s">
        <v>1453</v>
      </c>
      <c r="E20" s="2" t="s">
        <v>1454</v>
      </c>
      <c r="F20" s="2" t="s">
        <v>1455</v>
      </c>
      <c r="G20" s="2" t="s">
        <v>1278</v>
      </c>
      <c r="H20" s="2" t="s">
        <v>1456</v>
      </c>
      <c r="I20" s="2" t="s">
        <v>1457</v>
      </c>
    </row>
    <row r="21" spans="1:9" ht="51.75" customHeight="1">
      <c r="A21" s="2" t="s">
        <v>1458</v>
      </c>
      <c r="B21" s="2" t="s">
        <v>1365</v>
      </c>
      <c r="C21" s="2" t="s">
        <v>1459</v>
      </c>
      <c r="D21" s="2" t="s">
        <v>1460</v>
      </c>
      <c r="E21" s="2" t="s">
        <v>1461</v>
      </c>
      <c r="F21" s="2" t="s">
        <v>1462</v>
      </c>
      <c r="G21" s="2" t="s">
        <v>166</v>
      </c>
      <c r="H21" s="2" t="s">
        <v>1309</v>
      </c>
      <c r="I21" s="2" t="s">
        <v>1463</v>
      </c>
    </row>
    <row r="22" spans="1:9" ht="51.75" customHeight="1">
      <c r="A22" s="2" t="s">
        <v>385</v>
      </c>
      <c r="B22" s="2" t="s">
        <v>1396</v>
      </c>
      <c r="C22" s="2" t="s">
        <v>1464</v>
      </c>
      <c r="D22" s="2" t="s">
        <v>1465</v>
      </c>
      <c r="E22" s="2" t="s">
        <v>1466</v>
      </c>
      <c r="F22" s="2" t="s">
        <v>1467</v>
      </c>
      <c r="G22" s="2" t="s">
        <v>166</v>
      </c>
      <c r="H22" s="2" t="s">
        <v>1309</v>
      </c>
      <c r="I22" s="2" t="s">
        <v>1468</v>
      </c>
    </row>
    <row r="23" spans="1:9" ht="51.75" customHeight="1">
      <c r="A23" s="2" t="s">
        <v>1469</v>
      </c>
      <c r="B23" s="2" t="s">
        <v>1396</v>
      </c>
      <c r="C23" s="2" t="s">
        <v>1470</v>
      </c>
      <c r="D23" s="2" t="s">
        <v>1471</v>
      </c>
      <c r="E23" s="2" t="s">
        <v>1472</v>
      </c>
      <c r="F23" s="2" t="s">
        <v>1473</v>
      </c>
      <c r="G23" s="2" t="s">
        <v>325</v>
      </c>
      <c r="H23" s="2" t="s">
        <v>1309</v>
      </c>
      <c r="I23" s="2" t="s">
        <v>1341</v>
      </c>
    </row>
    <row r="24" spans="1:9" ht="51.75" customHeight="1">
      <c r="A24" s="2" t="s">
        <v>1474</v>
      </c>
      <c r="B24" s="2" t="s">
        <v>1396</v>
      </c>
      <c r="C24" s="2" t="s">
        <v>1475</v>
      </c>
      <c r="D24" s="2" t="s">
        <v>1476</v>
      </c>
      <c r="E24" s="2" t="s">
        <v>1477</v>
      </c>
      <c r="F24" s="2" t="s">
        <v>1478</v>
      </c>
      <c r="G24" s="2" t="s">
        <v>325</v>
      </c>
      <c r="H24" s="2" t="s">
        <v>1309</v>
      </c>
      <c r="I24" s="2" t="s">
        <v>1479</v>
      </c>
    </row>
    <row r="25" spans="1:9" ht="15.75" customHeight="1"/>
    <row r="26" spans="1:9" ht="15.75" customHeight="1"/>
    <row r="27" spans="1:9" ht="15.75" customHeight="1"/>
    <row r="28" spans="1:9" ht="15.75" customHeight="1"/>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I1"/>
    <mergeCell ref="A2:I2"/>
  </mergeCells>
  <phoneticPr fontId="10" type="noConversion"/>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00"/>
  <sheetViews>
    <sheetView showGridLines="0" workbookViewId="0">
      <selection sqref="A1:F1"/>
    </sheetView>
  </sheetViews>
  <sheetFormatPr defaultColWidth="14.42578125" defaultRowHeight="15" customHeight="1"/>
  <cols>
    <col min="1" max="1" width="12" customWidth="1"/>
    <col min="2" max="2" width="20" customWidth="1"/>
    <col min="3" max="3" width="26" customWidth="1"/>
    <col min="4" max="4" width="22" customWidth="1"/>
    <col min="5" max="5" width="26" customWidth="1"/>
    <col min="6" max="6" width="30" customWidth="1"/>
    <col min="7" max="26" width="8.7109375" customWidth="1"/>
  </cols>
  <sheetData>
    <row r="1" spans="1:6" ht="24" customHeight="1">
      <c r="A1" s="25" t="s">
        <v>1480</v>
      </c>
      <c r="B1" s="26"/>
      <c r="C1" s="26"/>
      <c r="D1" s="26"/>
      <c r="E1" s="26"/>
      <c r="F1" s="27"/>
    </row>
    <row r="2" spans="1:6" ht="24" customHeight="1">
      <c r="A2" s="28" t="s">
        <v>1481</v>
      </c>
      <c r="B2" s="26"/>
      <c r="C2" s="26"/>
      <c r="D2" s="26"/>
      <c r="E2" s="26"/>
      <c r="F2" s="27"/>
    </row>
    <row r="3" spans="1:6" ht="7.5" customHeight="1"/>
    <row r="4" spans="1:6" ht="30" customHeight="1">
      <c r="A4" s="1" t="s">
        <v>1482</v>
      </c>
      <c r="B4" s="1" t="s">
        <v>1483</v>
      </c>
      <c r="C4" s="1" t="s">
        <v>1484</v>
      </c>
      <c r="D4" s="1" t="s">
        <v>1485</v>
      </c>
      <c r="E4" s="1" t="s">
        <v>1486</v>
      </c>
      <c r="F4" s="1" t="s">
        <v>1487</v>
      </c>
    </row>
    <row r="5" spans="1:6" ht="31.5" customHeight="1">
      <c r="A5" s="2" t="s">
        <v>650</v>
      </c>
      <c r="B5" s="2" t="s">
        <v>1488</v>
      </c>
      <c r="C5" s="2" t="s">
        <v>1489</v>
      </c>
      <c r="D5" s="2" t="s">
        <v>1490</v>
      </c>
      <c r="E5" s="2" t="s">
        <v>1491</v>
      </c>
      <c r="F5" s="2" t="s">
        <v>1492</v>
      </c>
    </row>
    <row r="6" spans="1:6" ht="31.5" customHeight="1">
      <c r="A6" s="3" t="s">
        <v>658</v>
      </c>
      <c r="B6" s="3" t="s">
        <v>1493</v>
      </c>
      <c r="C6" s="3" t="s">
        <v>1494</v>
      </c>
      <c r="D6" s="3" t="s">
        <v>541</v>
      </c>
      <c r="E6" s="3" t="s">
        <v>1495</v>
      </c>
      <c r="F6" s="3" t="s">
        <v>1496</v>
      </c>
    </row>
    <row r="7" spans="1:6" ht="31.5" customHeight="1">
      <c r="A7" s="2" t="s">
        <v>667</v>
      </c>
      <c r="B7" s="2" t="s">
        <v>1497</v>
      </c>
      <c r="C7" s="2" t="s">
        <v>1498</v>
      </c>
      <c r="D7" s="2" t="s">
        <v>1499</v>
      </c>
      <c r="E7" s="2" t="s">
        <v>1500</v>
      </c>
      <c r="F7" s="2" t="s">
        <v>1501</v>
      </c>
    </row>
    <row r="8" spans="1:6" ht="31.5" customHeight="1">
      <c r="A8" s="3" t="s">
        <v>675</v>
      </c>
      <c r="B8" s="3" t="s">
        <v>1502</v>
      </c>
      <c r="C8" s="3" t="s">
        <v>1503</v>
      </c>
      <c r="D8" s="3" t="s">
        <v>1504</v>
      </c>
      <c r="E8" s="3" t="s">
        <v>1505</v>
      </c>
      <c r="F8" s="3" t="s">
        <v>1506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2:F2"/>
  </mergeCells>
  <phoneticPr fontId="10" type="noConversion"/>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0"/>
  <sheetViews>
    <sheetView showGridLines="0" topLeftCell="A7" workbookViewId="0">
      <selection sqref="A1:K1"/>
    </sheetView>
  </sheetViews>
  <sheetFormatPr defaultColWidth="14.42578125" defaultRowHeight="15" customHeight="1"/>
  <cols>
    <col min="1" max="1" width="13" customWidth="1"/>
    <col min="2" max="2" width="14" customWidth="1"/>
    <col min="3" max="3" width="24" customWidth="1"/>
    <col min="4" max="4" width="26" customWidth="1"/>
    <col min="5" max="5" width="13" customWidth="1"/>
    <col min="6" max="6" width="12" customWidth="1"/>
    <col min="7" max="8" width="11" customWidth="1"/>
    <col min="9" max="9" width="9" customWidth="1"/>
    <col min="10" max="10" width="24" customWidth="1"/>
    <col min="11" max="11" width="14" customWidth="1"/>
    <col min="12" max="26" width="8.7109375" customWidth="1"/>
  </cols>
  <sheetData>
    <row r="1" spans="1:11" ht="24" customHeight="1">
      <c r="A1" s="30" t="s">
        <v>1507</v>
      </c>
      <c r="B1" s="26"/>
      <c r="C1" s="26"/>
      <c r="D1" s="26"/>
      <c r="E1" s="26"/>
      <c r="F1" s="26"/>
      <c r="G1" s="26"/>
      <c r="H1" s="26"/>
      <c r="I1" s="26"/>
      <c r="J1" s="26"/>
      <c r="K1" s="27"/>
    </row>
    <row r="2" spans="1:11" ht="21.75" customHeight="1">
      <c r="A2" s="5" t="s">
        <v>1508</v>
      </c>
      <c r="B2" s="6">
        <v>46111</v>
      </c>
      <c r="C2" s="5" t="s">
        <v>1509</v>
      </c>
      <c r="D2" s="7">
        <f>COUNTIF($I$5:$I$27,"완료")</f>
        <v>2</v>
      </c>
      <c r="E2" s="5" t="s">
        <v>1510</v>
      </c>
      <c r="F2" s="7">
        <f>COUNTIF($I$5:$I$27,"진행중")</f>
        <v>2</v>
      </c>
      <c r="G2" s="5" t="s">
        <v>1511</v>
      </c>
      <c r="H2" s="7">
        <f>COUNTIF($I$5:$I$27,"예정")</f>
        <v>19</v>
      </c>
      <c r="I2" s="5" t="s">
        <v>1512</v>
      </c>
      <c r="J2" s="7">
        <f>COUNTIF($I$5:$I$27,"보류")</f>
        <v>0</v>
      </c>
      <c r="K2" s="8"/>
    </row>
    <row r="3" spans="1:11" ht="7.5" customHeight="1"/>
    <row r="4" spans="1:11" ht="21.75" customHeight="1">
      <c r="A4" s="5" t="s">
        <v>1513</v>
      </c>
      <c r="B4" s="5" t="s">
        <v>1514</v>
      </c>
      <c r="C4" s="5" t="s">
        <v>1515</v>
      </c>
      <c r="D4" s="5" t="s">
        <v>1516</v>
      </c>
      <c r="E4" s="5" t="s">
        <v>1517</v>
      </c>
      <c r="F4" s="5" t="s">
        <v>1518</v>
      </c>
      <c r="G4" s="5" t="s">
        <v>1519</v>
      </c>
      <c r="H4" s="5" t="s">
        <v>1520</v>
      </c>
      <c r="I4" s="5" t="s">
        <v>1521</v>
      </c>
      <c r="J4" s="5" t="s">
        <v>1268</v>
      </c>
      <c r="K4" s="5" t="s">
        <v>9</v>
      </c>
    </row>
    <row r="5" spans="1:11" ht="31.5" customHeight="1">
      <c r="A5" s="9" t="s">
        <v>1522</v>
      </c>
      <c r="B5" s="9" t="s">
        <v>1523</v>
      </c>
      <c r="C5" s="9" t="s">
        <v>1524</v>
      </c>
      <c r="D5" s="9" t="s">
        <v>1525</v>
      </c>
      <c r="E5" s="10" t="s">
        <v>667</v>
      </c>
      <c r="F5" s="11" t="s">
        <v>721</v>
      </c>
      <c r="G5" s="12">
        <v>46104</v>
      </c>
      <c r="H5" s="12">
        <v>46108</v>
      </c>
      <c r="I5" s="13" t="s">
        <v>1509</v>
      </c>
      <c r="J5" s="9" t="s">
        <v>1526</v>
      </c>
      <c r="K5" s="9" t="s">
        <v>1527</v>
      </c>
    </row>
    <row r="6" spans="1:11" ht="31.5" customHeight="1">
      <c r="A6" s="9" t="s">
        <v>1522</v>
      </c>
      <c r="B6" s="9" t="s">
        <v>1528</v>
      </c>
      <c r="C6" s="9" t="s">
        <v>1529</v>
      </c>
      <c r="D6" s="9" t="s">
        <v>1530</v>
      </c>
      <c r="E6" s="14" t="s">
        <v>721</v>
      </c>
      <c r="F6" s="11" t="s">
        <v>721</v>
      </c>
      <c r="G6" s="12">
        <v>46108</v>
      </c>
      <c r="H6" s="12">
        <v>46110</v>
      </c>
      <c r="I6" s="13" t="s">
        <v>1509</v>
      </c>
      <c r="J6" s="9" t="s">
        <v>1531</v>
      </c>
      <c r="K6" s="9" t="s">
        <v>1532</v>
      </c>
    </row>
    <row r="7" spans="1:11" ht="31.5" customHeight="1">
      <c r="A7" s="9" t="s">
        <v>1522</v>
      </c>
      <c r="B7" s="9" t="s">
        <v>1533</v>
      </c>
      <c r="C7" s="9" t="s">
        <v>1534</v>
      </c>
      <c r="D7" s="9" t="s">
        <v>1535</v>
      </c>
      <c r="E7" s="10" t="s">
        <v>667</v>
      </c>
      <c r="F7" s="11" t="s">
        <v>721</v>
      </c>
      <c r="G7" s="12">
        <v>46111</v>
      </c>
      <c r="H7" s="12">
        <v>46114</v>
      </c>
      <c r="I7" s="15" t="s">
        <v>1510</v>
      </c>
      <c r="J7" s="9" t="s">
        <v>1536</v>
      </c>
      <c r="K7" s="9" t="s">
        <v>1537</v>
      </c>
    </row>
    <row r="8" spans="1:11" ht="31.5" customHeight="1">
      <c r="A8" s="9" t="s">
        <v>1522</v>
      </c>
      <c r="B8" s="9" t="s">
        <v>1538</v>
      </c>
      <c r="C8" s="9" t="s">
        <v>1539</v>
      </c>
      <c r="D8" s="9" t="s">
        <v>1540</v>
      </c>
      <c r="E8" s="10" t="s">
        <v>667</v>
      </c>
      <c r="F8" s="11" t="s">
        <v>675</v>
      </c>
      <c r="G8" s="12">
        <v>46111</v>
      </c>
      <c r="H8" s="12">
        <v>46113</v>
      </c>
      <c r="I8" s="15" t="s">
        <v>1510</v>
      </c>
      <c r="J8" s="9" t="s">
        <v>1541</v>
      </c>
      <c r="K8" s="9" t="s">
        <v>1542</v>
      </c>
    </row>
    <row r="9" spans="1:11" ht="31.5" customHeight="1">
      <c r="A9" s="9" t="s">
        <v>1543</v>
      </c>
      <c r="B9" s="9" t="s">
        <v>642</v>
      </c>
      <c r="C9" s="9" t="s">
        <v>643</v>
      </c>
      <c r="D9" s="9" t="s">
        <v>1544</v>
      </c>
      <c r="E9" s="16" t="s">
        <v>650</v>
      </c>
      <c r="F9" s="11" t="s">
        <v>658</v>
      </c>
      <c r="G9" s="12">
        <v>46113</v>
      </c>
      <c r="H9" s="12">
        <v>46119</v>
      </c>
      <c r="I9" s="17" t="s">
        <v>1511</v>
      </c>
      <c r="J9" s="9" t="s">
        <v>1545</v>
      </c>
      <c r="K9" s="9" t="s">
        <v>1546</v>
      </c>
    </row>
    <row r="10" spans="1:11" ht="31.5" customHeight="1">
      <c r="A10" s="9" t="s">
        <v>1543</v>
      </c>
      <c r="B10" s="9" t="s">
        <v>652</v>
      </c>
      <c r="C10" s="9" t="s">
        <v>653</v>
      </c>
      <c r="D10" s="9" t="s">
        <v>1547</v>
      </c>
      <c r="E10" s="18" t="s">
        <v>658</v>
      </c>
      <c r="F10" s="11" t="s">
        <v>667</v>
      </c>
      <c r="G10" s="12">
        <v>46113</v>
      </c>
      <c r="H10" s="12">
        <v>46120</v>
      </c>
      <c r="I10" s="17" t="s">
        <v>1511</v>
      </c>
      <c r="J10" s="9" t="s">
        <v>1548</v>
      </c>
      <c r="K10" s="9" t="s">
        <v>1549</v>
      </c>
    </row>
    <row r="11" spans="1:11" ht="31.5" customHeight="1">
      <c r="A11" s="9" t="s">
        <v>1543</v>
      </c>
      <c r="B11" s="9" t="s">
        <v>660</v>
      </c>
      <c r="C11" s="9" t="s">
        <v>661</v>
      </c>
      <c r="D11" s="9" t="s">
        <v>1550</v>
      </c>
      <c r="E11" s="10" t="s">
        <v>667</v>
      </c>
      <c r="F11" s="11" t="s">
        <v>658</v>
      </c>
      <c r="G11" s="12">
        <v>46114</v>
      </c>
      <c r="H11" s="12">
        <v>46121</v>
      </c>
      <c r="I11" s="17" t="s">
        <v>1511</v>
      </c>
      <c r="J11" s="9" t="s">
        <v>1551</v>
      </c>
      <c r="K11" s="9" t="s">
        <v>1552</v>
      </c>
    </row>
    <row r="12" spans="1:11" ht="31.5" customHeight="1">
      <c r="A12" s="9" t="s">
        <v>1543</v>
      </c>
      <c r="B12" s="9" t="s">
        <v>669</v>
      </c>
      <c r="C12" s="9" t="s">
        <v>670</v>
      </c>
      <c r="D12" s="9" t="s">
        <v>1553</v>
      </c>
      <c r="E12" s="19" t="s">
        <v>675</v>
      </c>
      <c r="F12" s="11" t="s">
        <v>667</v>
      </c>
      <c r="G12" s="12">
        <v>46114</v>
      </c>
      <c r="H12" s="12">
        <v>46122</v>
      </c>
      <c r="I12" s="17" t="s">
        <v>1511</v>
      </c>
      <c r="J12" s="9" t="s">
        <v>1554</v>
      </c>
      <c r="K12" s="9" t="s">
        <v>1555</v>
      </c>
    </row>
    <row r="13" spans="1:11" ht="31.5" customHeight="1">
      <c r="A13" s="9" t="s">
        <v>1543</v>
      </c>
      <c r="B13" s="9" t="s">
        <v>677</v>
      </c>
      <c r="C13" s="9" t="s">
        <v>678</v>
      </c>
      <c r="D13" s="9" t="s">
        <v>1556</v>
      </c>
      <c r="E13" s="10" t="s">
        <v>667</v>
      </c>
      <c r="F13" s="11" t="s">
        <v>1557</v>
      </c>
      <c r="G13" s="12">
        <v>46120</v>
      </c>
      <c r="H13" s="12">
        <v>46127</v>
      </c>
      <c r="I13" s="17" t="s">
        <v>1511</v>
      </c>
      <c r="J13" s="9" t="s">
        <v>1558</v>
      </c>
      <c r="K13" s="9" t="s">
        <v>1559</v>
      </c>
    </row>
    <row r="14" spans="1:11" ht="31.5" customHeight="1">
      <c r="A14" s="9" t="s">
        <v>1560</v>
      </c>
      <c r="B14" s="9" t="s">
        <v>684</v>
      </c>
      <c r="C14" s="9" t="s">
        <v>685</v>
      </c>
      <c r="D14" s="9" t="s">
        <v>1561</v>
      </c>
      <c r="E14" s="16" t="s">
        <v>650</v>
      </c>
      <c r="F14" s="11" t="s">
        <v>667</v>
      </c>
      <c r="G14" s="12">
        <v>46125</v>
      </c>
      <c r="H14" s="12">
        <v>46136</v>
      </c>
      <c r="I14" s="17" t="s">
        <v>1511</v>
      </c>
      <c r="J14" s="9" t="s">
        <v>1562</v>
      </c>
      <c r="K14" s="9" t="s">
        <v>1563</v>
      </c>
    </row>
    <row r="15" spans="1:11" ht="31.5" customHeight="1">
      <c r="A15" s="9" t="s">
        <v>1560</v>
      </c>
      <c r="B15" s="9" t="s">
        <v>446</v>
      </c>
      <c r="C15" s="9" t="s">
        <v>690</v>
      </c>
      <c r="D15" s="9" t="s">
        <v>1564</v>
      </c>
      <c r="E15" s="18" t="s">
        <v>658</v>
      </c>
      <c r="F15" s="11" t="s">
        <v>650</v>
      </c>
      <c r="G15" s="12">
        <v>46125</v>
      </c>
      <c r="H15" s="12">
        <v>46136</v>
      </c>
      <c r="I15" s="17" t="s">
        <v>1511</v>
      </c>
      <c r="J15" s="9" t="s">
        <v>1565</v>
      </c>
      <c r="K15" s="9" t="s">
        <v>1566</v>
      </c>
    </row>
    <row r="16" spans="1:11" ht="31.5" customHeight="1">
      <c r="A16" s="9" t="s">
        <v>1560</v>
      </c>
      <c r="B16" s="9" t="s">
        <v>695</v>
      </c>
      <c r="C16" s="9" t="s">
        <v>696</v>
      </c>
      <c r="D16" s="9" t="s">
        <v>1567</v>
      </c>
      <c r="E16" s="10" t="s">
        <v>667</v>
      </c>
      <c r="F16" s="11" t="s">
        <v>658</v>
      </c>
      <c r="G16" s="12">
        <v>46132</v>
      </c>
      <c r="H16" s="12">
        <v>46143</v>
      </c>
      <c r="I16" s="17" t="s">
        <v>1511</v>
      </c>
      <c r="J16" s="9" t="s">
        <v>1568</v>
      </c>
      <c r="K16" s="9" t="s">
        <v>1569</v>
      </c>
    </row>
    <row r="17" spans="1:11" ht="31.5" customHeight="1">
      <c r="A17" s="9" t="s">
        <v>1560</v>
      </c>
      <c r="B17" s="9" t="s">
        <v>701</v>
      </c>
      <c r="C17" s="9" t="s">
        <v>702</v>
      </c>
      <c r="D17" s="9" t="s">
        <v>1570</v>
      </c>
      <c r="E17" s="19" t="s">
        <v>675</v>
      </c>
      <c r="F17" s="11" t="s">
        <v>667</v>
      </c>
      <c r="G17" s="12">
        <v>46132</v>
      </c>
      <c r="H17" s="12">
        <v>46143</v>
      </c>
      <c r="I17" s="17" t="s">
        <v>1511</v>
      </c>
      <c r="J17" s="9" t="s">
        <v>1571</v>
      </c>
      <c r="K17" s="9" t="s">
        <v>1572</v>
      </c>
    </row>
    <row r="18" spans="1:11" ht="31.5" customHeight="1">
      <c r="A18" s="9" t="s">
        <v>1573</v>
      </c>
      <c r="B18" s="9" t="s">
        <v>707</v>
      </c>
      <c r="C18" s="9" t="s">
        <v>708</v>
      </c>
      <c r="D18" s="9" t="s">
        <v>1574</v>
      </c>
      <c r="E18" s="14" t="s">
        <v>721</v>
      </c>
      <c r="F18" s="11" t="s">
        <v>721</v>
      </c>
      <c r="G18" s="12">
        <v>46146</v>
      </c>
      <c r="H18" s="12">
        <v>46157</v>
      </c>
      <c r="I18" s="17" t="s">
        <v>1511</v>
      </c>
      <c r="J18" s="9" t="s">
        <v>1575</v>
      </c>
      <c r="K18" s="9" t="s">
        <v>1576</v>
      </c>
    </row>
    <row r="19" spans="1:11" ht="31.5" customHeight="1">
      <c r="A19" s="9" t="s">
        <v>1573</v>
      </c>
      <c r="B19" s="9" t="s">
        <v>715</v>
      </c>
      <c r="C19" s="9" t="s">
        <v>716</v>
      </c>
      <c r="D19" s="9" t="s">
        <v>1577</v>
      </c>
      <c r="E19" s="14" t="s">
        <v>721</v>
      </c>
      <c r="F19" s="11" t="s">
        <v>721</v>
      </c>
      <c r="G19" s="12">
        <v>46160</v>
      </c>
      <c r="H19" s="12">
        <v>46171</v>
      </c>
      <c r="I19" s="17" t="s">
        <v>1511</v>
      </c>
      <c r="J19" s="9" t="s">
        <v>1578</v>
      </c>
      <c r="K19" s="9" t="s">
        <v>1579</v>
      </c>
    </row>
    <row r="20" spans="1:11" ht="31.5" customHeight="1">
      <c r="A20" s="9" t="s">
        <v>1573</v>
      </c>
      <c r="B20" s="9" t="s">
        <v>723</v>
      </c>
      <c r="C20" s="9" t="s">
        <v>724</v>
      </c>
      <c r="D20" s="9" t="s">
        <v>1580</v>
      </c>
      <c r="E20" s="19" t="s">
        <v>675</v>
      </c>
      <c r="F20" s="11" t="s">
        <v>721</v>
      </c>
      <c r="G20" s="12">
        <v>46167</v>
      </c>
      <c r="H20" s="12">
        <v>46178</v>
      </c>
      <c r="I20" s="17" t="s">
        <v>1511</v>
      </c>
      <c r="J20" s="9" t="s">
        <v>1581</v>
      </c>
      <c r="K20" s="9" t="s">
        <v>1582</v>
      </c>
    </row>
    <row r="21" spans="1:11" ht="31.5" customHeight="1">
      <c r="A21" s="9" t="s">
        <v>1583</v>
      </c>
      <c r="B21" s="9" t="s">
        <v>731</v>
      </c>
      <c r="C21" s="9" t="s">
        <v>732</v>
      </c>
      <c r="D21" s="9" t="s">
        <v>1584</v>
      </c>
      <c r="E21" s="18" t="s">
        <v>658</v>
      </c>
      <c r="F21" s="11" t="s">
        <v>650</v>
      </c>
      <c r="G21" s="12">
        <v>46174</v>
      </c>
      <c r="H21" s="12">
        <v>46192</v>
      </c>
      <c r="I21" s="17" t="s">
        <v>1511</v>
      </c>
      <c r="J21" s="9" t="s">
        <v>1585</v>
      </c>
      <c r="K21" s="9" t="s">
        <v>1586</v>
      </c>
    </row>
    <row r="22" spans="1:11" ht="31.5" customHeight="1">
      <c r="A22" s="9" t="s">
        <v>1583</v>
      </c>
      <c r="B22" s="9" t="s">
        <v>738</v>
      </c>
      <c r="C22" s="9" t="s">
        <v>739</v>
      </c>
      <c r="D22" s="9" t="s">
        <v>1587</v>
      </c>
      <c r="E22" s="19" t="s">
        <v>675</v>
      </c>
      <c r="F22" s="11" t="s">
        <v>667</v>
      </c>
      <c r="G22" s="12">
        <v>46181</v>
      </c>
      <c r="H22" s="12">
        <v>46199</v>
      </c>
      <c r="I22" s="17" t="s">
        <v>1511</v>
      </c>
      <c r="J22" s="9" t="s">
        <v>1588</v>
      </c>
      <c r="K22" s="9" t="s">
        <v>1589</v>
      </c>
    </row>
    <row r="23" spans="1:11" ht="31.5" customHeight="1">
      <c r="A23" s="9" t="s">
        <v>1583</v>
      </c>
      <c r="B23" s="9" t="s">
        <v>745</v>
      </c>
      <c r="C23" s="9" t="s">
        <v>746</v>
      </c>
      <c r="D23" s="9" t="s">
        <v>1590</v>
      </c>
      <c r="E23" s="10" t="s">
        <v>667</v>
      </c>
      <c r="F23" s="11" t="s">
        <v>721</v>
      </c>
      <c r="G23" s="12">
        <v>46188</v>
      </c>
      <c r="H23" s="12">
        <v>46203</v>
      </c>
      <c r="I23" s="17" t="s">
        <v>1511</v>
      </c>
      <c r="J23" s="9" t="s">
        <v>1591</v>
      </c>
      <c r="K23" s="9" t="s">
        <v>1592</v>
      </c>
    </row>
    <row r="24" spans="1:11" ht="31.5" customHeight="1">
      <c r="A24" s="9" t="s">
        <v>1593</v>
      </c>
      <c r="B24" s="9" t="s">
        <v>753</v>
      </c>
      <c r="C24" s="9" t="s">
        <v>754</v>
      </c>
      <c r="D24" s="9" t="s">
        <v>1594</v>
      </c>
      <c r="E24" s="18" t="s">
        <v>658</v>
      </c>
      <c r="F24" s="11" t="s">
        <v>667</v>
      </c>
      <c r="G24" s="12">
        <v>46204</v>
      </c>
      <c r="H24" s="12">
        <v>46248</v>
      </c>
      <c r="I24" s="17" t="s">
        <v>1511</v>
      </c>
      <c r="J24" s="9" t="s">
        <v>1595</v>
      </c>
      <c r="K24" s="9" t="s">
        <v>1596</v>
      </c>
    </row>
    <row r="25" spans="1:11" ht="31.5" customHeight="1">
      <c r="A25" s="9" t="s">
        <v>1593</v>
      </c>
      <c r="B25" s="9" t="s">
        <v>761</v>
      </c>
      <c r="C25" s="9" t="s">
        <v>762</v>
      </c>
      <c r="D25" s="9" t="s">
        <v>1597</v>
      </c>
      <c r="E25" s="19" t="s">
        <v>675</v>
      </c>
      <c r="F25" s="11" t="s">
        <v>650</v>
      </c>
      <c r="G25" s="12">
        <v>46218</v>
      </c>
      <c r="H25" s="12">
        <v>46265</v>
      </c>
      <c r="I25" s="17" t="s">
        <v>1511</v>
      </c>
      <c r="J25" s="9" t="s">
        <v>1598</v>
      </c>
      <c r="K25" s="9" t="s">
        <v>1599</v>
      </c>
    </row>
    <row r="26" spans="1:11" ht="31.5" customHeight="1">
      <c r="A26" s="9" t="s">
        <v>1593</v>
      </c>
      <c r="B26" s="9" t="s">
        <v>767</v>
      </c>
      <c r="C26" s="9" t="s">
        <v>768</v>
      </c>
      <c r="D26" s="9" t="s">
        <v>1600</v>
      </c>
      <c r="E26" s="14" t="s">
        <v>721</v>
      </c>
      <c r="F26" s="11" t="s">
        <v>721</v>
      </c>
      <c r="G26" s="12">
        <v>46266</v>
      </c>
      <c r="H26" s="12">
        <v>46305</v>
      </c>
      <c r="I26" s="17" t="s">
        <v>1511</v>
      </c>
      <c r="J26" s="9" t="s">
        <v>1601</v>
      </c>
      <c r="K26" s="9" t="s">
        <v>1602</v>
      </c>
    </row>
    <row r="27" spans="1:11" ht="31.5" customHeight="1">
      <c r="A27" s="9" t="s">
        <v>1593</v>
      </c>
      <c r="B27" s="9" t="s">
        <v>773</v>
      </c>
      <c r="C27" s="9" t="s">
        <v>774</v>
      </c>
      <c r="D27" s="9" t="s">
        <v>1603</v>
      </c>
      <c r="E27" s="14" t="s">
        <v>721</v>
      </c>
      <c r="F27" s="11" t="s">
        <v>721</v>
      </c>
      <c r="G27" s="12">
        <v>46306</v>
      </c>
      <c r="H27" s="12">
        <v>46325</v>
      </c>
      <c r="I27" s="17" t="s">
        <v>1511</v>
      </c>
      <c r="J27" s="9" t="s">
        <v>1604</v>
      </c>
      <c r="K27" s="9" t="s">
        <v>1605</v>
      </c>
    </row>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K1"/>
  </mergeCells>
  <phoneticPr fontId="10" type="noConversion"/>
  <dataValidations count="1">
    <dataValidation type="list" allowBlank="1" sqref="I5:I27">
      <formula1>"완료,진행중,예정,보류"</formula1>
    </dataValidation>
  </dataValidations>
  <pageMargins left="0.7" right="0.7" top="0.75" bottom="0.75" header="0" footer="0"/>
  <pageSetup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0"/>
  <sheetViews>
    <sheetView showGridLines="0" workbookViewId="0">
      <selection sqref="A1:D1"/>
    </sheetView>
  </sheetViews>
  <sheetFormatPr defaultColWidth="14.42578125" defaultRowHeight="15" customHeight="1"/>
  <cols>
    <col min="1" max="1" width="14" customWidth="1"/>
    <col min="2" max="2" width="24" customWidth="1"/>
    <col min="3" max="3" width="58" customWidth="1"/>
    <col min="4" max="4" width="30" customWidth="1"/>
    <col min="5" max="26" width="8.7109375" customWidth="1"/>
  </cols>
  <sheetData>
    <row r="1" spans="1:4" ht="24" customHeight="1">
      <c r="A1" s="30" t="s">
        <v>1606</v>
      </c>
      <c r="B1" s="26"/>
      <c r="C1" s="26"/>
      <c r="D1" s="27"/>
    </row>
    <row r="2" spans="1:4" ht="21.75" customHeight="1">
      <c r="A2" s="5" t="s">
        <v>530</v>
      </c>
      <c r="B2" s="5" t="s">
        <v>1607</v>
      </c>
      <c r="C2" s="5" t="s">
        <v>1608</v>
      </c>
      <c r="D2" s="5" t="s">
        <v>1609</v>
      </c>
    </row>
    <row r="3" spans="1:4" ht="39.75" customHeight="1">
      <c r="A3" s="20" t="s">
        <v>1610</v>
      </c>
      <c r="B3" s="9" t="s">
        <v>1611</v>
      </c>
      <c r="C3" s="9" t="s">
        <v>1612</v>
      </c>
      <c r="D3" s="9" t="s">
        <v>1613</v>
      </c>
    </row>
    <row r="4" spans="1:4" ht="39.75" customHeight="1">
      <c r="A4" s="20" t="s">
        <v>1610</v>
      </c>
      <c r="B4" s="9" t="s">
        <v>1614</v>
      </c>
      <c r="C4" s="9" t="s">
        <v>1615</v>
      </c>
      <c r="D4" s="9" t="s">
        <v>1616</v>
      </c>
    </row>
    <row r="5" spans="1:4" ht="39.75" customHeight="1">
      <c r="A5" s="20" t="s">
        <v>1610</v>
      </c>
      <c r="B5" s="9" t="s">
        <v>1617</v>
      </c>
      <c r="C5" s="9" t="s">
        <v>1618</v>
      </c>
      <c r="D5" s="9" t="s">
        <v>1619</v>
      </c>
    </row>
    <row r="6" spans="1:4" ht="39.75" customHeight="1">
      <c r="A6" s="20" t="s">
        <v>1610</v>
      </c>
      <c r="B6" s="9" t="s">
        <v>1620</v>
      </c>
      <c r="C6" s="9" t="s">
        <v>1621</v>
      </c>
      <c r="D6" s="9" t="s">
        <v>1622</v>
      </c>
    </row>
    <row r="7" spans="1:4" ht="39.75" customHeight="1">
      <c r="A7" s="20" t="s">
        <v>1610</v>
      </c>
      <c r="B7" s="9" t="s">
        <v>1623</v>
      </c>
      <c r="C7" s="9" t="s">
        <v>1624</v>
      </c>
      <c r="D7" s="9" t="s">
        <v>1625</v>
      </c>
    </row>
    <row r="8" spans="1:4" ht="39.75" customHeight="1">
      <c r="A8" s="20" t="s">
        <v>1610</v>
      </c>
      <c r="B8" s="9" t="s">
        <v>1626</v>
      </c>
      <c r="C8" s="9" t="s">
        <v>1627</v>
      </c>
      <c r="D8" s="9" t="s">
        <v>1628</v>
      </c>
    </row>
    <row r="9" spans="1:4" ht="39.75" customHeight="1">
      <c r="A9" s="20" t="s">
        <v>1610</v>
      </c>
      <c r="B9" s="9" t="s">
        <v>1629</v>
      </c>
      <c r="C9" s="9" t="s">
        <v>1630</v>
      </c>
      <c r="D9" s="9" t="s">
        <v>1631</v>
      </c>
    </row>
    <row r="10" spans="1:4" ht="39.75" customHeight="1">
      <c r="A10" s="20" t="s">
        <v>1632</v>
      </c>
      <c r="B10" s="9" t="s">
        <v>1633</v>
      </c>
      <c r="C10" s="9" t="s">
        <v>1634</v>
      </c>
      <c r="D10" s="9" t="s">
        <v>1635</v>
      </c>
    </row>
    <row r="11" spans="1:4" ht="39.75" customHeight="1">
      <c r="A11" s="20" t="s">
        <v>1632</v>
      </c>
      <c r="B11" s="9" t="s">
        <v>1636</v>
      </c>
      <c r="C11" s="9" t="s">
        <v>1637</v>
      </c>
      <c r="D11" s="9" t="s">
        <v>1638</v>
      </c>
    </row>
    <row r="12" spans="1:4" ht="39.75" customHeight="1">
      <c r="A12" s="20" t="s">
        <v>1632</v>
      </c>
      <c r="B12" s="9" t="s">
        <v>1639</v>
      </c>
      <c r="C12" s="9" t="s">
        <v>1640</v>
      </c>
      <c r="D12" s="9" t="s">
        <v>1641</v>
      </c>
    </row>
    <row r="13" spans="1:4" ht="39.75" customHeight="1">
      <c r="A13" s="20" t="s">
        <v>1642</v>
      </c>
      <c r="B13" s="9" t="s">
        <v>1643</v>
      </c>
      <c r="C13" s="9" t="s">
        <v>1644</v>
      </c>
      <c r="D13" s="9" t="s">
        <v>1645</v>
      </c>
    </row>
    <row r="14" spans="1:4" ht="39.75" customHeight="1">
      <c r="A14" s="20" t="s">
        <v>1642</v>
      </c>
      <c r="B14" s="9" t="s">
        <v>1646</v>
      </c>
      <c r="C14" s="9" t="s">
        <v>1647</v>
      </c>
      <c r="D14" s="9" t="s">
        <v>1648</v>
      </c>
    </row>
    <row r="15" spans="1:4" ht="39.75" customHeight="1">
      <c r="A15" s="20" t="s">
        <v>1642</v>
      </c>
      <c r="B15" s="9" t="s">
        <v>1649</v>
      </c>
      <c r="C15" s="9" t="s">
        <v>1650</v>
      </c>
      <c r="D15" s="9" t="s">
        <v>1651</v>
      </c>
    </row>
    <row r="16" spans="1:4" ht="39.75" customHeight="1">
      <c r="A16" s="20" t="s">
        <v>1652</v>
      </c>
      <c r="B16" s="9" t="s">
        <v>1653</v>
      </c>
      <c r="C16" s="9" t="s">
        <v>1654</v>
      </c>
      <c r="D16" s="9" t="s">
        <v>1655</v>
      </c>
    </row>
    <row r="17" spans="1:4" ht="39.75" customHeight="1">
      <c r="A17" s="20" t="s">
        <v>1652</v>
      </c>
      <c r="B17" s="9" t="s">
        <v>1656</v>
      </c>
      <c r="C17" s="9" t="s">
        <v>1657</v>
      </c>
      <c r="D17" s="9" t="s">
        <v>1658</v>
      </c>
    </row>
    <row r="18" spans="1:4" ht="39.75" customHeight="1">
      <c r="A18" s="20" t="s">
        <v>1659</v>
      </c>
      <c r="B18" s="9" t="s">
        <v>1660</v>
      </c>
      <c r="C18" s="9" t="s">
        <v>1661</v>
      </c>
      <c r="D18" s="9" t="s">
        <v>1662</v>
      </c>
    </row>
    <row r="19" spans="1:4" ht="39.75" customHeight="1">
      <c r="A19" s="20" t="s">
        <v>1659</v>
      </c>
      <c r="B19" s="9" t="s">
        <v>1663</v>
      </c>
      <c r="C19" s="9" t="s">
        <v>1664</v>
      </c>
      <c r="D19" s="9" t="s">
        <v>1665</v>
      </c>
    </row>
    <row r="20" spans="1:4" ht="39.75" customHeight="1">
      <c r="A20" s="20" t="s">
        <v>1659</v>
      </c>
      <c r="B20" s="9" t="s">
        <v>1666</v>
      </c>
      <c r="C20" s="9" t="s">
        <v>1667</v>
      </c>
      <c r="D20" s="9" t="s">
        <v>1668</v>
      </c>
    </row>
    <row r="21" spans="1:4" ht="7.5" customHeight="1"/>
    <row r="22" spans="1:4" ht="33.75" customHeight="1">
      <c r="A22" s="31" t="s">
        <v>1669</v>
      </c>
      <c r="B22" s="32"/>
      <c r="C22" s="32"/>
      <c r="D22" s="33"/>
    </row>
    <row r="23" spans="1:4" ht="15.75" customHeight="1"/>
    <row r="24" spans="1:4" ht="15.75" customHeight="1"/>
    <row r="25" spans="1:4" ht="15.75" customHeight="1"/>
    <row r="26" spans="1:4" ht="15.75" customHeight="1"/>
    <row r="27" spans="1:4" ht="15.75" customHeight="1"/>
    <row r="28" spans="1:4" ht="15.75" customHeight="1"/>
    <row r="29" spans="1:4" ht="15.75" customHeight="1"/>
    <row r="30" spans="1:4" ht="15.75" customHeight="1"/>
    <row r="31" spans="1:4" ht="15.75" customHeight="1"/>
    <row r="32" spans="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D1"/>
    <mergeCell ref="A22:D22"/>
  </mergeCells>
  <phoneticPr fontId="10" type="noConversion"/>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showGridLines="0" workbookViewId="0">
      <selection sqref="A1:B1"/>
    </sheetView>
  </sheetViews>
  <sheetFormatPr defaultColWidth="14.42578125" defaultRowHeight="15" customHeight="1"/>
  <cols>
    <col min="1" max="1" width="19.28515625" customWidth="1"/>
    <col min="2" max="2" width="122.28515625" customWidth="1"/>
    <col min="3" max="26" width="8.7109375" customWidth="1"/>
  </cols>
  <sheetData>
    <row r="1" spans="1:2" ht="17.25">
      <c r="A1" s="25" t="s">
        <v>1670</v>
      </c>
      <c r="B1" s="27"/>
    </row>
    <row r="2" spans="1:2">
      <c r="A2" s="28" t="s">
        <v>1671</v>
      </c>
      <c r="B2" s="27"/>
    </row>
    <row r="4" spans="1:2">
      <c r="A4" s="1" t="s">
        <v>1607</v>
      </c>
      <c r="B4" s="1" t="s">
        <v>1672</v>
      </c>
    </row>
    <row r="5" spans="1:2" ht="40.5">
      <c r="A5" s="2" t="s">
        <v>1673</v>
      </c>
      <c r="B5" s="2" t="s">
        <v>1674</v>
      </c>
    </row>
    <row r="6" spans="1:2" ht="40.5">
      <c r="A6" s="3" t="s">
        <v>1675</v>
      </c>
      <c r="B6" s="3" t="s">
        <v>1676</v>
      </c>
    </row>
    <row r="7" spans="1:2" ht="40.5">
      <c r="A7" s="2" t="s">
        <v>1677</v>
      </c>
      <c r="B7" s="2" t="s">
        <v>1678</v>
      </c>
    </row>
    <row r="8" spans="1:2" ht="40.5">
      <c r="A8" s="3" t="s">
        <v>1679</v>
      </c>
      <c r="B8" s="3" t="s">
        <v>1680</v>
      </c>
    </row>
    <row r="9" spans="1:2" ht="40.5">
      <c r="A9" s="2" t="s">
        <v>1681</v>
      </c>
      <c r="B9" s="21" t="s">
        <v>1682</v>
      </c>
    </row>
    <row r="10" spans="1:2" ht="27">
      <c r="A10" s="3" t="s">
        <v>1683</v>
      </c>
      <c r="B10" s="3" t="s">
        <v>1684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B1"/>
    <mergeCell ref="A2:B2"/>
  </mergeCells>
  <phoneticPr fontId="10" type="noConversion"/>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showGridLines="0" tabSelected="1" workbookViewId="0">
      <selection sqref="A1:E1"/>
    </sheetView>
  </sheetViews>
  <sheetFormatPr defaultColWidth="14.42578125" defaultRowHeight="15" customHeight="1"/>
  <cols>
    <col min="1" max="1" width="12" customWidth="1"/>
    <col min="2" max="2" width="26" customWidth="1"/>
    <col min="3" max="3" width="55" customWidth="1"/>
    <col min="4" max="4" width="40" customWidth="1"/>
    <col min="5" max="5" width="12" customWidth="1"/>
    <col min="6" max="26" width="8.7109375" customWidth="1"/>
  </cols>
  <sheetData>
    <row r="1" spans="1:5" ht="24" customHeight="1">
      <c r="A1" s="25" t="s">
        <v>1685</v>
      </c>
      <c r="B1" s="26"/>
      <c r="C1" s="26"/>
      <c r="D1" s="26"/>
      <c r="E1" s="27"/>
    </row>
    <row r="2" spans="1:5" ht="24" customHeight="1">
      <c r="A2" s="28" t="s">
        <v>1686</v>
      </c>
      <c r="B2" s="26"/>
      <c r="C2" s="26"/>
      <c r="D2" s="26"/>
      <c r="E2" s="27"/>
    </row>
    <row r="3" spans="1:5" ht="7.5" customHeight="1"/>
    <row r="4" spans="1:5" ht="30" customHeight="1">
      <c r="A4" s="1" t="s">
        <v>1687</v>
      </c>
      <c r="B4" s="1" t="s">
        <v>1688</v>
      </c>
      <c r="C4" s="1" t="s">
        <v>1689</v>
      </c>
      <c r="D4" s="1" t="s">
        <v>1690</v>
      </c>
      <c r="E4" s="1" t="s">
        <v>9</v>
      </c>
    </row>
    <row r="5" spans="1:5" ht="21.75" customHeight="1">
      <c r="A5" s="2" t="s">
        <v>1691</v>
      </c>
      <c r="B5" s="2" t="s">
        <v>1692</v>
      </c>
      <c r="C5" s="2" t="s">
        <v>1693</v>
      </c>
      <c r="D5" s="2" t="s">
        <v>1694</v>
      </c>
      <c r="E5" s="2" t="s">
        <v>1695</v>
      </c>
    </row>
    <row r="6" spans="1:5" ht="21.75" customHeight="1">
      <c r="A6" s="3" t="s">
        <v>1696</v>
      </c>
      <c r="B6" s="3" t="s">
        <v>1697</v>
      </c>
      <c r="C6" s="22" t="s">
        <v>1050</v>
      </c>
      <c r="D6" s="3" t="s">
        <v>1698</v>
      </c>
      <c r="E6" s="3" t="s">
        <v>1699</v>
      </c>
    </row>
    <row r="7" spans="1:5" ht="21.75" customHeight="1">
      <c r="A7" s="2" t="s">
        <v>1696</v>
      </c>
      <c r="B7" s="2" t="s">
        <v>1700</v>
      </c>
      <c r="C7" s="23" t="s">
        <v>1701</v>
      </c>
      <c r="D7" s="2" t="s">
        <v>1702</v>
      </c>
      <c r="E7" s="2" t="s">
        <v>1699</v>
      </c>
    </row>
    <row r="8" spans="1:5" ht="31.5" customHeight="1">
      <c r="A8" s="3" t="s">
        <v>1696</v>
      </c>
      <c r="B8" s="3" t="s">
        <v>1703</v>
      </c>
      <c r="C8" s="22" t="s">
        <v>544</v>
      </c>
      <c r="D8" s="3" t="s">
        <v>1704</v>
      </c>
      <c r="E8" s="3" t="s">
        <v>1699</v>
      </c>
    </row>
    <row r="9" spans="1:5" ht="31.5" customHeight="1">
      <c r="A9" s="2" t="s">
        <v>1696</v>
      </c>
      <c r="B9" s="2" t="s">
        <v>1705</v>
      </c>
      <c r="C9" s="23" t="s">
        <v>1706</v>
      </c>
      <c r="D9" s="2" t="s">
        <v>1707</v>
      </c>
      <c r="E9" s="2" t="s">
        <v>1699</v>
      </c>
    </row>
    <row r="10" spans="1:5" ht="31.5" customHeight="1">
      <c r="A10" s="3" t="s">
        <v>1696</v>
      </c>
      <c r="B10" s="3" t="s">
        <v>1708</v>
      </c>
      <c r="C10" s="22" t="s">
        <v>1709</v>
      </c>
      <c r="D10" s="3" t="s">
        <v>1710</v>
      </c>
      <c r="E10" s="3" t="s">
        <v>1699</v>
      </c>
    </row>
    <row r="11" spans="1:5" ht="31.5" customHeight="1">
      <c r="A11" s="2" t="s">
        <v>1696</v>
      </c>
      <c r="B11" s="2" t="s">
        <v>1711</v>
      </c>
      <c r="C11" s="23" t="s">
        <v>1712</v>
      </c>
      <c r="D11" s="2" t="s">
        <v>1713</v>
      </c>
      <c r="E11" s="2" t="s">
        <v>1699</v>
      </c>
    </row>
    <row r="12" spans="1:5" ht="31.5" customHeight="1">
      <c r="A12" s="3" t="s">
        <v>697</v>
      </c>
      <c r="B12" s="3" t="s">
        <v>1714</v>
      </c>
      <c r="C12" s="22" t="s">
        <v>571</v>
      </c>
      <c r="D12" s="3" t="s">
        <v>1715</v>
      </c>
      <c r="E12" s="3" t="s">
        <v>1699</v>
      </c>
    </row>
    <row r="13" spans="1:5" ht="21.75" customHeight="1">
      <c r="A13" s="2" t="s">
        <v>697</v>
      </c>
      <c r="B13" s="2" t="s">
        <v>1716</v>
      </c>
      <c r="C13" s="23" t="s">
        <v>1717</v>
      </c>
      <c r="D13" s="2" t="s">
        <v>1718</v>
      </c>
      <c r="E13" s="2" t="s">
        <v>1699</v>
      </c>
    </row>
    <row r="14" spans="1:5" ht="21.75" customHeight="1">
      <c r="A14" s="3" t="s">
        <v>697</v>
      </c>
      <c r="B14" s="3" t="s">
        <v>1719</v>
      </c>
      <c r="C14" s="22" t="s">
        <v>1720</v>
      </c>
      <c r="D14" s="3" t="s">
        <v>1721</v>
      </c>
      <c r="E14" s="3" t="s">
        <v>1699</v>
      </c>
    </row>
    <row r="15" spans="1:5" ht="21.75" customHeight="1">
      <c r="A15" s="2" t="s">
        <v>697</v>
      </c>
      <c r="B15" s="2" t="s">
        <v>1722</v>
      </c>
      <c r="C15" s="23" t="s">
        <v>561</v>
      </c>
      <c r="D15" s="2" t="s">
        <v>1723</v>
      </c>
      <c r="E15" s="2" t="s">
        <v>1699</v>
      </c>
    </row>
    <row r="16" spans="1:5" ht="21.75" customHeight="1">
      <c r="A16" s="3" t="s">
        <v>1724</v>
      </c>
      <c r="B16" s="3" t="s">
        <v>1725</v>
      </c>
      <c r="C16" s="22" t="s">
        <v>1092</v>
      </c>
      <c r="D16" s="3" t="s">
        <v>1726</v>
      </c>
      <c r="E16" s="3" t="s">
        <v>1699</v>
      </c>
    </row>
    <row r="17" spans="1:5" ht="21.75" customHeight="1">
      <c r="A17" s="2" t="s">
        <v>1724</v>
      </c>
      <c r="B17" s="2" t="s">
        <v>1727</v>
      </c>
      <c r="C17" s="23" t="s">
        <v>579</v>
      </c>
      <c r="D17" s="2" t="s">
        <v>1728</v>
      </c>
      <c r="E17" s="2" t="s">
        <v>1699</v>
      </c>
    </row>
    <row r="18" spans="1:5" ht="21.75" customHeight="1">
      <c r="A18" s="3" t="s">
        <v>1724</v>
      </c>
      <c r="B18" s="3" t="s">
        <v>1729</v>
      </c>
      <c r="C18" s="22" t="s">
        <v>585</v>
      </c>
      <c r="D18" s="3" t="s">
        <v>1730</v>
      </c>
      <c r="E18" s="3" t="s">
        <v>1699</v>
      </c>
    </row>
    <row r="19" spans="1:5" ht="31.5" customHeight="1">
      <c r="A19" s="2" t="s">
        <v>1731</v>
      </c>
      <c r="B19" s="2" t="s">
        <v>1732</v>
      </c>
      <c r="C19" s="23" t="s">
        <v>631</v>
      </c>
      <c r="D19" s="2" t="s">
        <v>1733</v>
      </c>
      <c r="E19" s="2" t="s">
        <v>1699</v>
      </c>
    </row>
    <row r="20" spans="1:5" ht="21.75" customHeight="1">
      <c r="A20" s="3" t="s">
        <v>1731</v>
      </c>
      <c r="B20" s="3" t="s">
        <v>1734</v>
      </c>
      <c r="C20" s="22" t="s">
        <v>1735</v>
      </c>
      <c r="D20" s="3" t="s">
        <v>1736</v>
      </c>
      <c r="E20" s="3" t="s">
        <v>1699</v>
      </c>
    </row>
    <row r="21" spans="1:5" ht="42" customHeight="1">
      <c r="A21" s="24" t="s">
        <v>1731</v>
      </c>
      <c r="B21" s="24" t="s">
        <v>1737</v>
      </c>
      <c r="C21" s="24" t="s">
        <v>1035</v>
      </c>
      <c r="D21" s="24" t="s">
        <v>1738</v>
      </c>
      <c r="E21" s="24" t="s">
        <v>1699</v>
      </c>
    </row>
    <row r="22" spans="1:5" ht="42" customHeight="1">
      <c r="A22" s="24" t="s">
        <v>1731</v>
      </c>
      <c r="B22" s="24" t="s">
        <v>1739</v>
      </c>
      <c r="C22" s="24" t="s">
        <v>1145</v>
      </c>
      <c r="D22" s="24" t="s">
        <v>1740</v>
      </c>
      <c r="E22" s="24" t="s">
        <v>1699</v>
      </c>
    </row>
    <row r="23" spans="1:5" ht="42" customHeight="1">
      <c r="A23" s="24" t="s">
        <v>1731</v>
      </c>
      <c r="B23" s="24" t="s">
        <v>1741</v>
      </c>
      <c r="C23" s="24" t="s">
        <v>1259</v>
      </c>
      <c r="D23" s="24" t="s">
        <v>1742</v>
      </c>
      <c r="E23" s="24" t="s">
        <v>1699</v>
      </c>
    </row>
    <row r="24" spans="1:5" ht="42" customHeight="1">
      <c r="A24" s="24" t="s">
        <v>1743</v>
      </c>
      <c r="B24" s="24" t="s">
        <v>1134</v>
      </c>
      <c r="C24" s="24" t="s">
        <v>1139</v>
      </c>
      <c r="D24" s="24" t="s">
        <v>1744</v>
      </c>
      <c r="E24" s="24" t="s">
        <v>1699</v>
      </c>
    </row>
    <row r="25" spans="1:5" ht="42" customHeight="1">
      <c r="A25" s="24" t="s">
        <v>1745</v>
      </c>
      <c r="B25" s="24" t="s">
        <v>17</v>
      </c>
      <c r="C25" s="24" t="s">
        <v>1746</v>
      </c>
      <c r="D25" s="24" t="s">
        <v>1747</v>
      </c>
      <c r="E25" s="24" t="s">
        <v>1699</v>
      </c>
    </row>
    <row r="26" spans="1:5" ht="42" customHeight="1">
      <c r="A26" s="24" t="s">
        <v>1748</v>
      </c>
      <c r="B26" s="24" t="s">
        <v>1749</v>
      </c>
      <c r="C26" s="24" t="s">
        <v>603</v>
      </c>
      <c r="D26" s="24" t="s">
        <v>1750</v>
      </c>
      <c r="E26" s="24" t="s">
        <v>1699</v>
      </c>
    </row>
    <row r="27" spans="1:5" ht="42" customHeight="1">
      <c r="A27" s="24" t="s">
        <v>1751</v>
      </c>
      <c r="B27" s="24" t="s">
        <v>1752</v>
      </c>
      <c r="C27" s="24" t="s">
        <v>612</v>
      </c>
      <c r="D27" s="24" t="s">
        <v>1753</v>
      </c>
      <c r="E27" s="24" t="s">
        <v>1699</v>
      </c>
    </row>
    <row r="28" spans="1:5" ht="42" customHeight="1">
      <c r="A28" s="24" t="s">
        <v>1754</v>
      </c>
      <c r="B28" s="24" t="s">
        <v>1755</v>
      </c>
      <c r="C28" s="24" t="s">
        <v>621</v>
      </c>
      <c r="D28" s="24" t="s">
        <v>1756</v>
      </c>
      <c r="E28" s="24" t="s">
        <v>1699</v>
      </c>
    </row>
    <row r="29" spans="1:5" ht="42" customHeight="1">
      <c r="A29" s="24" t="s">
        <v>1757</v>
      </c>
      <c r="B29" s="24" t="s">
        <v>1758</v>
      </c>
      <c r="C29" s="24" t="s">
        <v>594</v>
      </c>
      <c r="D29" s="24" t="s">
        <v>1759</v>
      </c>
      <c r="E29" s="24" t="s">
        <v>1699</v>
      </c>
    </row>
    <row r="30" spans="1:5" ht="15.75" customHeight="1"/>
    <row r="31" spans="1:5" ht="15.75" customHeight="1"/>
    <row r="32" spans="1:5"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2:E2"/>
  </mergeCells>
  <phoneticPr fontId="10" type="noConversion"/>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00"/>
  <sheetViews>
    <sheetView workbookViewId="0">
      <selection sqref="A1:L1"/>
    </sheetView>
  </sheetViews>
  <sheetFormatPr defaultColWidth="14.42578125" defaultRowHeight="15" customHeight="1"/>
  <cols>
    <col min="1" max="1" width="13.5703125" customWidth="1"/>
    <col min="2" max="3" width="18" customWidth="1"/>
    <col min="4" max="4" width="12" customWidth="1"/>
    <col min="5" max="5" width="28" customWidth="1"/>
    <col min="6" max="6" width="24" customWidth="1"/>
    <col min="7" max="7" width="66.5703125" customWidth="1"/>
    <col min="8" max="8" width="26.5703125" customWidth="1"/>
    <col min="9" max="9" width="21.5703125" customWidth="1"/>
    <col min="10" max="10" width="14" customWidth="1"/>
    <col min="11" max="11" width="34.140625" customWidth="1"/>
    <col min="12" max="12" width="17.7109375" customWidth="1"/>
    <col min="13" max="26" width="8.7109375" customWidth="1"/>
  </cols>
  <sheetData>
    <row r="1" spans="1:12" ht="17.25">
      <c r="A1" s="25" t="s">
        <v>1760</v>
      </c>
      <c r="B1" s="26"/>
      <c r="C1" s="26"/>
      <c r="D1" s="26"/>
      <c r="E1" s="26"/>
      <c r="F1" s="26"/>
      <c r="G1" s="26"/>
      <c r="H1" s="26"/>
      <c r="I1" s="26"/>
      <c r="J1" s="26"/>
      <c r="K1" s="26"/>
      <c r="L1" s="27"/>
    </row>
    <row r="2" spans="1:12">
      <c r="A2" s="28" t="s">
        <v>1761</v>
      </c>
      <c r="B2" s="26"/>
      <c r="C2" s="26"/>
      <c r="D2" s="26"/>
      <c r="E2" s="26"/>
      <c r="F2" s="26"/>
      <c r="G2" s="26"/>
      <c r="H2" s="26"/>
      <c r="I2" s="26"/>
      <c r="J2" s="26"/>
      <c r="K2" s="26"/>
      <c r="L2" s="27"/>
    </row>
    <row r="4" spans="1:12">
      <c r="A4" s="1" t="s">
        <v>5</v>
      </c>
      <c r="B4" s="1" t="s">
        <v>1762</v>
      </c>
      <c r="C4" s="1" t="s">
        <v>1763</v>
      </c>
      <c r="D4" s="1" t="s">
        <v>1764</v>
      </c>
      <c r="E4" s="1" t="s">
        <v>1765</v>
      </c>
      <c r="F4" s="1" t="s">
        <v>1766</v>
      </c>
      <c r="G4" s="1" t="s">
        <v>1767</v>
      </c>
      <c r="H4" s="1" t="s">
        <v>1768</v>
      </c>
      <c r="I4" s="1" t="s">
        <v>1769</v>
      </c>
      <c r="J4" s="1" t="s">
        <v>372</v>
      </c>
      <c r="K4" s="1" t="s">
        <v>1770</v>
      </c>
      <c r="L4" s="1" t="s">
        <v>1771</v>
      </c>
    </row>
    <row r="5" spans="1:12" ht="69.75" customHeight="1">
      <c r="A5" s="2" t="s">
        <v>13</v>
      </c>
      <c r="B5" s="2" t="s">
        <v>12</v>
      </c>
      <c r="C5" s="2" t="s">
        <v>1772</v>
      </c>
      <c r="D5" s="2" t="s">
        <v>1773</v>
      </c>
      <c r="E5" s="2" t="s">
        <v>1774</v>
      </c>
      <c r="F5" s="2" t="s">
        <v>17</v>
      </c>
      <c r="G5" s="2" t="s">
        <v>1775</v>
      </c>
      <c r="H5" s="2" t="s">
        <v>1776</v>
      </c>
      <c r="I5" s="2" t="s">
        <v>1777</v>
      </c>
      <c r="J5" s="2" t="s">
        <v>1778</v>
      </c>
      <c r="K5" s="2" t="s">
        <v>1779</v>
      </c>
      <c r="L5" s="2" t="s">
        <v>1269</v>
      </c>
    </row>
    <row r="6" spans="1:12" ht="69.75" customHeight="1">
      <c r="A6" s="2" t="s">
        <v>19</v>
      </c>
      <c r="B6" s="2" t="s">
        <v>18</v>
      </c>
      <c r="C6" s="2" t="s">
        <v>1780</v>
      </c>
      <c r="D6" s="2" t="s">
        <v>1773</v>
      </c>
      <c r="E6" s="2" t="s">
        <v>1781</v>
      </c>
      <c r="F6" s="2" t="s">
        <v>1309</v>
      </c>
      <c r="G6" s="2" t="s">
        <v>1782</v>
      </c>
      <c r="H6" s="2" t="s">
        <v>1158</v>
      </c>
      <c r="I6" s="2" t="s">
        <v>1783</v>
      </c>
      <c r="J6" s="2" t="s">
        <v>383</v>
      </c>
      <c r="K6" s="2" t="s">
        <v>1784</v>
      </c>
      <c r="L6" s="2" t="s">
        <v>1785</v>
      </c>
    </row>
    <row r="7" spans="1:12" ht="69.75" customHeight="1">
      <c r="A7" s="2" t="s">
        <v>24</v>
      </c>
      <c r="B7" s="2" t="s">
        <v>23</v>
      </c>
      <c r="C7" s="2" t="s">
        <v>1786</v>
      </c>
      <c r="D7" s="2" t="s">
        <v>1787</v>
      </c>
      <c r="E7" s="2" t="s">
        <v>1788</v>
      </c>
      <c r="F7" s="2" t="s">
        <v>1789</v>
      </c>
      <c r="G7" s="2" t="s">
        <v>1790</v>
      </c>
      <c r="H7" s="2" t="s">
        <v>382</v>
      </c>
      <c r="I7" s="2" t="s">
        <v>1377</v>
      </c>
      <c r="J7" s="2" t="s">
        <v>383</v>
      </c>
      <c r="K7" s="2" t="s">
        <v>1791</v>
      </c>
      <c r="L7" s="2" t="s">
        <v>1287</v>
      </c>
    </row>
    <row r="8" spans="1:12" ht="69.75" customHeight="1">
      <c r="A8" s="2" t="s">
        <v>28</v>
      </c>
      <c r="B8" s="2" t="s">
        <v>27</v>
      </c>
      <c r="C8" s="2" t="s">
        <v>1792</v>
      </c>
      <c r="D8" s="2" t="s">
        <v>1787</v>
      </c>
      <c r="E8" s="2" t="s">
        <v>1793</v>
      </c>
      <c r="F8" s="2" t="s">
        <v>1789</v>
      </c>
      <c r="G8" s="2" t="s">
        <v>1794</v>
      </c>
      <c r="H8" s="2" t="s">
        <v>1795</v>
      </c>
      <c r="I8" s="2" t="s">
        <v>1377</v>
      </c>
      <c r="J8" s="2" t="s">
        <v>383</v>
      </c>
      <c r="K8" s="2" t="s">
        <v>1796</v>
      </c>
      <c r="L8" s="2" t="s">
        <v>1287</v>
      </c>
    </row>
    <row r="9" spans="1:12" ht="69.75" customHeight="1">
      <c r="A9" s="2" t="s">
        <v>32</v>
      </c>
      <c r="B9" s="2" t="s">
        <v>31</v>
      </c>
      <c r="C9" s="2" t="s">
        <v>1797</v>
      </c>
      <c r="D9" s="2" t="s">
        <v>1787</v>
      </c>
      <c r="E9" s="2" t="s">
        <v>1798</v>
      </c>
      <c r="F9" s="2" t="s">
        <v>1799</v>
      </c>
      <c r="G9" s="2" t="s">
        <v>1800</v>
      </c>
      <c r="H9" s="2" t="s">
        <v>382</v>
      </c>
      <c r="I9" s="2" t="s">
        <v>1801</v>
      </c>
      <c r="J9" s="2" t="s">
        <v>383</v>
      </c>
      <c r="K9" s="2" t="s">
        <v>1802</v>
      </c>
      <c r="L9" s="2" t="s">
        <v>1803</v>
      </c>
    </row>
    <row r="10" spans="1:12" ht="69.75" customHeight="1">
      <c r="A10" s="2" t="s">
        <v>36</v>
      </c>
      <c r="B10" s="2" t="s">
        <v>35</v>
      </c>
      <c r="C10" s="2" t="s">
        <v>1804</v>
      </c>
      <c r="D10" s="2" t="s">
        <v>1787</v>
      </c>
      <c r="E10" s="2" t="s">
        <v>1805</v>
      </c>
      <c r="F10" s="2" t="s">
        <v>1309</v>
      </c>
      <c r="G10" s="2" t="s">
        <v>1806</v>
      </c>
      <c r="H10" s="2" t="s">
        <v>1807</v>
      </c>
      <c r="I10" s="2" t="s">
        <v>1377</v>
      </c>
      <c r="J10" s="2" t="s">
        <v>383</v>
      </c>
      <c r="K10" s="2" t="s">
        <v>1808</v>
      </c>
      <c r="L10" s="2" t="s">
        <v>1287</v>
      </c>
    </row>
    <row r="11" spans="1:12" ht="69.75" customHeight="1">
      <c r="A11" s="2" t="s">
        <v>41</v>
      </c>
      <c r="B11" s="2" t="s">
        <v>40</v>
      </c>
      <c r="C11" s="2" t="s">
        <v>1809</v>
      </c>
      <c r="D11" s="2" t="s">
        <v>1810</v>
      </c>
      <c r="E11" s="2" t="s">
        <v>1811</v>
      </c>
      <c r="F11" s="2" t="s">
        <v>1309</v>
      </c>
      <c r="G11" s="2" t="s">
        <v>1812</v>
      </c>
      <c r="H11" s="2" t="s">
        <v>1813</v>
      </c>
      <c r="I11" s="2" t="s">
        <v>1814</v>
      </c>
      <c r="J11" s="2" t="s">
        <v>383</v>
      </c>
      <c r="K11" s="2" t="s">
        <v>1815</v>
      </c>
      <c r="L11" s="2" t="s">
        <v>1296</v>
      </c>
    </row>
    <row r="12" spans="1:12" ht="69.75" customHeight="1">
      <c r="A12" s="2" t="s">
        <v>46</v>
      </c>
      <c r="B12" s="2" t="s">
        <v>45</v>
      </c>
      <c r="C12" s="2" t="s">
        <v>1816</v>
      </c>
      <c r="D12" s="2" t="s">
        <v>1817</v>
      </c>
      <c r="E12" s="2" t="s">
        <v>1818</v>
      </c>
      <c r="F12" s="2" t="s">
        <v>1819</v>
      </c>
      <c r="G12" s="2" t="s">
        <v>1820</v>
      </c>
      <c r="H12" s="2" t="s">
        <v>1821</v>
      </c>
      <c r="I12" s="2" t="s">
        <v>1402</v>
      </c>
      <c r="J12" s="2" t="s">
        <v>383</v>
      </c>
      <c r="K12" s="2" t="s">
        <v>1822</v>
      </c>
      <c r="L12" s="2" t="s">
        <v>1305</v>
      </c>
    </row>
    <row r="13" spans="1:12" ht="69.75" customHeight="1">
      <c r="A13" s="2" t="s">
        <v>50</v>
      </c>
      <c r="B13" s="2" t="s">
        <v>49</v>
      </c>
      <c r="C13" s="2" t="s">
        <v>1823</v>
      </c>
      <c r="D13" s="2" t="s">
        <v>1817</v>
      </c>
      <c r="E13" s="2" t="s">
        <v>1824</v>
      </c>
      <c r="F13" s="2" t="s">
        <v>1825</v>
      </c>
      <c r="G13" s="2" t="s">
        <v>1826</v>
      </c>
      <c r="H13" s="2" t="s">
        <v>1827</v>
      </c>
      <c r="I13" s="2" t="s">
        <v>1828</v>
      </c>
      <c r="J13" s="2" t="s">
        <v>1829</v>
      </c>
      <c r="K13" s="2" t="s">
        <v>1830</v>
      </c>
      <c r="L13" s="2" t="s">
        <v>325</v>
      </c>
    </row>
    <row r="14" spans="1:12" ht="69.75" customHeight="1">
      <c r="A14" s="2" t="s">
        <v>56</v>
      </c>
      <c r="B14" s="2" t="s">
        <v>55</v>
      </c>
      <c r="C14" s="2" t="s">
        <v>1831</v>
      </c>
      <c r="D14" s="2" t="s">
        <v>1832</v>
      </c>
      <c r="E14" s="2" t="s">
        <v>1833</v>
      </c>
      <c r="F14" s="2" t="s">
        <v>1309</v>
      </c>
      <c r="G14" s="2" t="s">
        <v>1834</v>
      </c>
      <c r="H14" s="2" t="s">
        <v>1835</v>
      </c>
      <c r="I14" s="2" t="s">
        <v>1377</v>
      </c>
      <c r="J14" s="2" t="s">
        <v>383</v>
      </c>
      <c r="K14" s="2" t="s">
        <v>1836</v>
      </c>
      <c r="L14" s="2" t="s">
        <v>1837</v>
      </c>
    </row>
    <row r="15" spans="1:12" ht="69.75" customHeight="1">
      <c r="A15" s="2" t="s">
        <v>60</v>
      </c>
      <c r="B15" s="2" t="s">
        <v>59</v>
      </c>
      <c r="C15" s="2" t="s">
        <v>1838</v>
      </c>
      <c r="D15" s="2" t="s">
        <v>1839</v>
      </c>
      <c r="E15" s="2" t="s">
        <v>1840</v>
      </c>
      <c r="F15" s="2" t="s">
        <v>1309</v>
      </c>
      <c r="G15" s="2" t="s">
        <v>1841</v>
      </c>
      <c r="H15" s="2" t="s">
        <v>62</v>
      </c>
      <c r="I15" s="2" t="s">
        <v>1383</v>
      </c>
      <c r="J15" s="2" t="s">
        <v>383</v>
      </c>
      <c r="K15" s="2" t="s">
        <v>1842</v>
      </c>
      <c r="L15" s="2" t="s">
        <v>1837</v>
      </c>
    </row>
    <row r="16" spans="1:12" ht="69.75" customHeight="1">
      <c r="A16" s="2" t="s">
        <v>64</v>
      </c>
      <c r="B16" s="2" t="s">
        <v>63</v>
      </c>
      <c r="C16" s="2" t="s">
        <v>1843</v>
      </c>
      <c r="D16" s="2" t="s">
        <v>1844</v>
      </c>
      <c r="E16" s="2" t="s">
        <v>1845</v>
      </c>
      <c r="F16" s="2" t="s">
        <v>1309</v>
      </c>
      <c r="G16" s="2" t="s">
        <v>1846</v>
      </c>
      <c r="H16" s="2" t="s">
        <v>418</v>
      </c>
      <c r="I16" s="2" t="s">
        <v>1847</v>
      </c>
      <c r="J16" s="2" t="s">
        <v>383</v>
      </c>
      <c r="K16" s="2" t="s">
        <v>1848</v>
      </c>
      <c r="L16" s="2" t="s">
        <v>1837</v>
      </c>
    </row>
    <row r="17" spans="1:12" ht="69.75" customHeight="1">
      <c r="A17" s="2" t="s">
        <v>69</v>
      </c>
      <c r="B17" s="2" t="s">
        <v>68</v>
      </c>
      <c r="C17" s="2" t="s">
        <v>1849</v>
      </c>
      <c r="D17" s="2" t="s">
        <v>1850</v>
      </c>
      <c r="E17" s="2" t="s">
        <v>1851</v>
      </c>
      <c r="F17" s="2" t="s">
        <v>428</v>
      </c>
      <c r="G17" s="2" t="s">
        <v>1852</v>
      </c>
      <c r="H17" s="2" t="s">
        <v>430</v>
      </c>
      <c r="I17" s="2" t="s">
        <v>1853</v>
      </c>
      <c r="J17" s="2" t="s">
        <v>1854</v>
      </c>
      <c r="K17" s="2" t="s">
        <v>1855</v>
      </c>
      <c r="L17" s="2" t="s">
        <v>1856</v>
      </c>
    </row>
    <row r="18" spans="1:12" ht="69.75" customHeight="1">
      <c r="A18" s="2" t="s">
        <v>73</v>
      </c>
      <c r="B18" s="2" t="s">
        <v>72</v>
      </c>
      <c r="C18" s="2" t="s">
        <v>1857</v>
      </c>
      <c r="D18" s="2" t="s">
        <v>1850</v>
      </c>
      <c r="E18" s="2" t="s">
        <v>1851</v>
      </c>
      <c r="F18" s="2" t="s">
        <v>437</v>
      </c>
      <c r="G18" s="2" t="s">
        <v>1858</v>
      </c>
      <c r="H18" s="2" t="s">
        <v>439</v>
      </c>
      <c r="I18" s="2" t="s">
        <v>1853</v>
      </c>
      <c r="J18" s="2" t="s">
        <v>1854</v>
      </c>
      <c r="K18" s="2" t="s">
        <v>1859</v>
      </c>
      <c r="L18" s="2" t="s">
        <v>1856</v>
      </c>
    </row>
    <row r="19" spans="1:12" ht="69.75" customHeight="1">
      <c r="A19" s="2" t="s">
        <v>77</v>
      </c>
      <c r="B19" s="2" t="s">
        <v>76</v>
      </c>
      <c r="C19" s="2" t="s">
        <v>1860</v>
      </c>
      <c r="D19" s="2" t="s">
        <v>1844</v>
      </c>
      <c r="E19" s="2" t="s">
        <v>1861</v>
      </c>
      <c r="F19" s="2" t="s">
        <v>235</v>
      </c>
      <c r="G19" s="2" t="s">
        <v>1862</v>
      </c>
      <c r="H19" s="2" t="s">
        <v>459</v>
      </c>
      <c r="I19" s="2" t="s">
        <v>1853</v>
      </c>
      <c r="J19" s="2" t="s">
        <v>1863</v>
      </c>
      <c r="K19" s="2" t="s">
        <v>1864</v>
      </c>
      <c r="L19" s="2" t="s">
        <v>1856</v>
      </c>
    </row>
    <row r="20" spans="1:12" ht="69.75" customHeight="1">
      <c r="A20" s="2" t="s">
        <v>81</v>
      </c>
      <c r="B20" s="2" t="s">
        <v>80</v>
      </c>
      <c r="C20" s="2" t="s">
        <v>1865</v>
      </c>
      <c r="D20" s="2" t="s">
        <v>1844</v>
      </c>
      <c r="E20" s="2" t="s">
        <v>1866</v>
      </c>
      <c r="F20" s="2" t="s">
        <v>1867</v>
      </c>
      <c r="G20" s="2" t="s">
        <v>1868</v>
      </c>
      <c r="H20" s="2" t="s">
        <v>1869</v>
      </c>
      <c r="I20" s="2" t="s">
        <v>1853</v>
      </c>
      <c r="J20" s="2" t="s">
        <v>1870</v>
      </c>
      <c r="K20" s="2" t="s">
        <v>1871</v>
      </c>
      <c r="L20" s="2" t="s">
        <v>38</v>
      </c>
    </row>
    <row r="21" spans="1:12" ht="69.75" customHeight="1">
      <c r="A21" s="2" t="s">
        <v>85</v>
      </c>
      <c r="B21" s="2" t="s">
        <v>84</v>
      </c>
      <c r="C21" s="2" t="s">
        <v>1872</v>
      </c>
      <c r="D21" s="2" t="s">
        <v>1873</v>
      </c>
      <c r="E21" s="2" t="s">
        <v>1874</v>
      </c>
      <c r="F21" s="2" t="s">
        <v>1309</v>
      </c>
      <c r="G21" s="2" t="s">
        <v>1875</v>
      </c>
      <c r="H21" s="2" t="s">
        <v>459</v>
      </c>
      <c r="I21" s="2" t="s">
        <v>1876</v>
      </c>
      <c r="J21" s="2" t="s">
        <v>383</v>
      </c>
      <c r="K21" s="2" t="s">
        <v>1877</v>
      </c>
      <c r="L21" s="2" t="s">
        <v>1878</v>
      </c>
    </row>
    <row r="22" spans="1:12" ht="69.75" customHeight="1">
      <c r="A22" s="2" t="s">
        <v>90</v>
      </c>
      <c r="B22" s="2" t="s">
        <v>89</v>
      </c>
      <c r="C22" s="2" t="s">
        <v>1879</v>
      </c>
      <c r="D22" s="2" t="s">
        <v>1880</v>
      </c>
      <c r="E22" s="2" t="s">
        <v>1881</v>
      </c>
      <c r="F22" s="2" t="s">
        <v>1882</v>
      </c>
      <c r="G22" s="2" t="s">
        <v>1883</v>
      </c>
      <c r="H22" s="2" t="s">
        <v>469</v>
      </c>
      <c r="I22" s="2" t="s">
        <v>1884</v>
      </c>
      <c r="J22" s="2" t="s">
        <v>383</v>
      </c>
      <c r="K22" s="2" t="s">
        <v>1885</v>
      </c>
      <c r="L22" s="2" t="s">
        <v>1886</v>
      </c>
    </row>
    <row r="23" spans="1:12" ht="69.75" customHeight="1">
      <c r="A23" s="2" t="s">
        <v>94</v>
      </c>
      <c r="B23" s="2" t="s">
        <v>93</v>
      </c>
      <c r="C23" s="2" t="s">
        <v>1887</v>
      </c>
      <c r="D23" s="2" t="s">
        <v>1888</v>
      </c>
      <c r="E23" s="2" t="s">
        <v>1889</v>
      </c>
      <c r="F23" s="2" t="s">
        <v>1309</v>
      </c>
      <c r="G23" s="2" t="s">
        <v>1890</v>
      </c>
      <c r="H23" s="2" t="s">
        <v>1186</v>
      </c>
      <c r="I23" s="2" t="s">
        <v>1884</v>
      </c>
      <c r="J23" s="2" t="s">
        <v>383</v>
      </c>
      <c r="K23" s="2" t="s">
        <v>1891</v>
      </c>
      <c r="L23" s="2" t="s">
        <v>96</v>
      </c>
    </row>
    <row r="24" spans="1:12" ht="69.75" customHeight="1">
      <c r="A24" s="2" t="s">
        <v>98</v>
      </c>
      <c r="B24" s="2" t="s">
        <v>97</v>
      </c>
      <c r="C24" s="2" t="s">
        <v>1892</v>
      </c>
      <c r="D24" s="2" t="s">
        <v>1873</v>
      </c>
      <c r="E24" s="2" t="s">
        <v>1893</v>
      </c>
      <c r="F24" s="2" t="s">
        <v>1309</v>
      </c>
      <c r="G24" s="2" t="s">
        <v>1894</v>
      </c>
      <c r="H24" s="2" t="s">
        <v>1895</v>
      </c>
      <c r="I24" s="2" t="s">
        <v>1896</v>
      </c>
      <c r="J24" s="2" t="s">
        <v>383</v>
      </c>
      <c r="K24" s="2" t="s">
        <v>1897</v>
      </c>
      <c r="L24" s="2" t="s">
        <v>100</v>
      </c>
    </row>
    <row r="25" spans="1:12" ht="69.75" customHeight="1">
      <c r="A25" s="2" t="s">
        <v>102</v>
      </c>
      <c r="B25" s="2" t="s">
        <v>101</v>
      </c>
      <c r="C25" s="2" t="s">
        <v>1898</v>
      </c>
      <c r="D25" s="2" t="s">
        <v>1888</v>
      </c>
      <c r="E25" s="2" t="s">
        <v>1899</v>
      </c>
      <c r="F25" s="2" t="s">
        <v>1309</v>
      </c>
      <c r="G25" s="2" t="s">
        <v>1900</v>
      </c>
      <c r="H25" s="2" t="s">
        <v>469</v>
      </c>
      <c r="I25" s="2" t="s">
        <v>1407</v>
      </c>
      <c r="J25" s="2" t="s">
        <v>383</v>
      </c>
      <c r="K25" s="2" t="s">
        <v>1901</v>
      </c>
      <c r="L25" s="2" t="s">
        <v>270</v>
      </c>
    </row>
    <row r="26" spans="1:12" ht="69.75" customHeight="1">
      <c r="A26" s="2" t="s">
        <v>107</v>
      </c>
      <c r="B26" s="2" t="s">
        <v>106</v>
      </c>
      <c r="C26" s="2" t="s">
        <v>272</v>
      </c>
      <c r="D26" s="2" t="s">
        <v>1902</v>
      </c>
      <c r="E26" s="2" t="s">
        <v>1903</v>
      </c>
      <c r="F26" s="2" t="s">
        <v>478</v>
      </c>
      <c r="G26" s="2" t="s">
        <v>1904</v>
      </c>
      <c r="H26" s="2" t="s">
        <v>1194</v>
      </c>
      <c r="I26" s="2" t="s">
        <v>1417</v>
      </c>
      <c r="J26" s="2" t="s">
        <v>1905</v>
      </c>
      <c r="K26" s="2" t="s">
        <v>1906</v>
      </c>
      <c r="L26" s="2" t="s">
        <v>1907</v>
      </c>
    </row>
    <row r="27" spans="1:12" ht="69.75" customHeight="1">
      <c r="A27" s="2" t="s">
        <v>111</v>
      </c>
      <c r="B27" s="2" t="s">
        <v>110</v>
      </c>
      <c r="C27" s="2" t="s">
        <v>1908</v>
      </c>
      <c r="D27" s="2" t="s">
        <v>1902</v>
      </c>
      <c r="E27" s="2" t="s">
        <v>1909</v>
      </c>
      <c r="F27" s="2" t="s">
        <v>478</v>
      </c>
      <c r="G27" s="2" t="s">
        <v>1910</v>
      </c>
      <c r="H27" s="2" t="s">
        <v>1911</v>
      </c>
      <c r="I27" s="2" t="s">
        <v>1912</v>
      </c>
      <c r="J27" s="2" t="s">
        <v>1913</v>
      </c>
      <c r="K27" s="2" t="s">
        <v>1914</v>
      </c>
      <c r="L27" s="2" t="s">
        <v>1915</v>
      </c>
    </row>
    <row r="28" spans="1:12" ht="69.75" customHeight="1">
      <c r="A28" s="2" t="s">
        <v>115</v>
      </c>
      <c r="B28" s="2" t="s">
        <v>114</v>
      </c>
      <c r="C28" s="2" t="s">
        <v>1916</v>
      </c>
      <c r="D28" s="2" t="s">
        <v>1902</v>
      </c>
      <c r="E28" s="2" t="s">
        <v>1917</v>
      </c>
      <c r="F28" s="2" t="s">
        <v>478</v>
      </c>
      <c r="G28" s="2" t="s">
        <v>1918</v>
      </c>
      <c r="H28" s="2" t="s">
        <v>52</v>
      </c>
      <c r="I28" s="2" t="s">
        <v>1429</v>
      </c>
      <c r="J28" s="2" t="s">
        <v>1919</v>
      </c>
      <c r="K28" s="2" t="s">
        <v>1920</v>
      </c>
      <c r="L28" s="2" t="s">
        <v>117</v>
      </c>
    </row>
    <row r="29" spans="1:12" ht="69.75" customHeight="1">
      <c r="A29" s="2" t="s">
        <v>119</v>
      </c>
      <c r="B29" s="2" t="s">
        <v>118</v>
      </c>
      <c r="C29" s="2" t="s">
        <v>1921</v>
      </c>
      <c r="D29" s="2" t="s">
        <v>1888</v>
      </c>
      <c r="E29" s="2" t="s">
        <v>1922</v>
      </c>
      <c r="F29" s="2" t="s">
        <v>1923</v>
      </c>
      <c r="G29" s="2" t="s">
        <v>1924</v>
      </c>
      <c r="H29" s="2" t="s">
        <v>1925</v>
      </c>
      <c r="I29" s="2" t="s">
        <v>1926</v>
      </c>
      <c r="J29" s="2" t="s">
        <v>383</v>
      </c>
      <c r="K29" s="2" t="s">
        <v>1927</v>
      </c>
      <c r="L29" s="2" t="s">
        <v>121</v>
      </c>
    </row>
    <row r="30" spans="1:12" ht="69.75" customHeight="1">
      <c r="A30" s="2" t="s">
        <v>125</v>
      </c>
      <c r="B30" s="2" t="s">
        <v>124</v>
      </c>
      <c r="C30" s="2" t="s">
        <v>1928</v>
      </c>
      <c r="D30" s="2" t="s">
        <v>1929</v>
      </c>
      <c r="E30" s="2" t="s">
        <v>1930</v>
      </c>
      <c r="F30" s="2" t="s">
        <v>1309</v>
      </c>
      <c r="G30" s="2" t="s">
        <v>1931</v>
      </c>
      <c r="H30" s="2" t="s">
        <v>1932</v>
      </c>
      <c r="I30" s="2" t="s">
        <v>1933</v>
      </c>
      <c r="J30" s="2" t="s">
        <v>1934</v>
      </c>
      <c r="K30" s="2" t="s">
        <v>1935</v>
      </c>
      <c r="L30" s="2" t="s">
        <v>127</v>
      </c>
    </row>
    <row r="31" spans="1:12" ht="69.75" customHeight="1">
      <c r="A31" s="2" t="s">
        <v>129</v>
      </c>
      <c r="B31" s="2" t="s">
        <v>128</v>
      </c>
      <c r="C31" s="2" t="s">
        <v>1936</v>
      </c>
      <c r="D31" s="2" t="s">
        <v>1929</v>
      </c>
      <c r="E31" s="2" t="s">
        <v>1937</v>
      </c>
      <c r="F31" s="2" t="s">
        <v>1309</v>
      </c>
      <c r="G31" s="2" t="s">
        <v>1938</v>
      </c>
      <c r="H31" s="2" t="s">
        <v>1939</v>
      </c>
      <c r="I31" s="2" t="s">
        <v>1940</v>
      </c>
      <c r="J31" s="2" t="s">
        <v>383</v>
      </c>
      <c r="K31" s="2" t="s">
        <v>1941</v>
      </c>
      <c r="L31" s="2" t="s">
        <v>131</v>
      </c>
    </row>
    <row r="32" spans="1:12" ht="69.75" customHeight="1">
      <c r="A32" s="2" t="s">
        <v>133</v>
      </c>
      <c r="B32" s="2" t="s">
        <v>132</v>
      </c>
      <c r="C32" s="2" t="s">
        <v>1942</v>
      </c>
      <c r="D32" s="2" t="s">
        <v>1943</v>
      </c>
      <c r="E32" s="2" t="s">
        <v>1944</v>
      </c>
      <c r="F32" s="2" t="s">
        <v>1309</v>
      </c>
      <c r="G32" s="2" t="s">
        <v>1945</v>
      </c>
      <c r="H32" s="2" t="s">
        <v>1946</v>
      </c>
      <c r="I32" s="2" t="s">
        <v>374</v>
      </c>
      <c r="J32" s="2" t="s">
        <v>383</v>
      </c>
      <c r="K32" s="2" t="s">
        <v>1947</v>
      </c>
      <c r="L32" s="2" t="s">
        <v>135</v>
      </c>
    </row>
    <row r="33" spans="1:12" ht="69.75" customHeight="1">
      <c r="A33" s="2" t="s">
        <v>138</v>
      </c>
      <c r="B33" s="2" t="s">
        <v>137</v>
      </c>
      <c r="C33" s="2" t="s">
        <v>1948</v>
      </c>
      <c r="D33" s="2" t="s">
        <v>1873</v>
      </c>
      <c r="E33" s="2" t="s">
        <v>1949</v>
      </c>
      <c r="F33" s="2" t="s">
        <v>1950</v>
      </c>
      <c r="G33" s="2" t="s">
        <v>1951</v>
      </c>
      <c r="H33" s="2" t="s">
        <v>140</v>
      </c>
      <c r="I33" s="2" t="s">
        <v>1933</v>
      </c>
      <c r="J33" s="2" t="s">
        <v>383</v>
      </c>
      <c r="K33" s="2" t="s">
        <v>1952</v>
      </c>
      <c r="L33" s="2" t="s">
        <v>1953</v>
      </c>
    </row>
    <row r="34" spans="1:12" ht="69.75" customHeight="1">
      <c r="A34" s="2" t="s">
        <v>142</v>
      </c>
      <c r="B34" s="2" t="s">
        <v>141</v>
      </c>
      <c r="C34" s="2" t="s">
        <v>1954</v>
      </c>
      <c r="D34" s="2" t="s">
        <v>1873</v>
      </c>
      <c r="E34" s="2" t="s">
        <v>1955</v>
      </c>
      <c r="F34" s="2" t="s">
        <v>1309</v>
      </c>
      <c r="G34" s="2" t="s">
        <v>1956</v>
      </c>
      <c r="H34" s="2" t="s">
        <v>1957</v>
      </c>
      <c r="I34" s="2" t="s">
        <v>1958</v>
      </c>
      <c r="J34" s="2" t="s">
        <v>383</v>
      </c>
      <c r="K34" s="2" t="s">
        <v>1959</v>
      </c>
      <c r="L34" s="2" t="s">
        <v>144</v>
      </c>
    </row>
    <row r="35" spans="1:12" ht="69.75" customHeight="1">
      <c r="A35" s="2" t="s">
        <v>148</v>
      </c>
      <c r="B35" s="2" t="s">
        <v>147</v>
      </c>
      <c r="C35" s="2" t="s">
        <v>1288</v>
      </c>
      <c r="D35" s="2" t="s">
        <v>1960</v>
      </c>
      <c r="E35" s="2" t="s">
        <v>1961</v>
      </c>
      <c r="F35" s="2" t="s">
        <v>1309</v>
      </c>
      <c r="G35" s="2" t="s">
        <v>1962</v>
      </c>
      <c r="H35" s="2" t="s">
        <v>1963</v>
      </c>
      <c r="I35" s="2" t="s">
        <v>1964</v>
      </c>
      <c r="J35" s="2" t="s">
        <v>383</v>
      </c>
      <c r="K35" s="2" t="s">
        <v>1965</v>
      </c>
      <c r="L35" s="2" t="s">
        <v>1287</v>
      </c>
    </row>
    <row r="36" spans="1:12" ht="69.75" customHeight="1">
      <c r="A36" s="2" t="s">
        <v>152</v>
      </c>
      <c r="B36" s="2" t="s">
        <v>151</v>
      </c>
      <c r="C36" s="2" t="s">
        <v>1966</v>
      </c>
      <c r="D36" s="2" t="s">
        <v>1967</v>
      </c>
      <c r="E36" s="2" t="s">
        <v>1968</v>
      </c>
      <c r="F36" s="2" t="s">
        <v>1309</v>
      </c>
      <c r="G36" s="2" t="s">
        <v>1969</v>
      </c>
      <c r="H36" s="2" t="s">
        <v>1970</v>
      </c>
      <c r="I36" s="2" t="s">
        <v>1971</v>
      </c>
      <c r="J36" s="2" t="s">
        <v>383</v>
      </c>
      <c r="K36" s="2" t="s">
        <v>1972</v>
      </c>
      <c r="L36" s="2" t="s">
        <v>1973</v>
      </c>
    </row>
    <row r="37" spans="1:12" ht="69.75" customHeight="1">
      <c r="A37" s="2" t="s">
        <v>156</v>
      </c>
      <c r="B37" s="2" t="s">
        <v>155</v>
      </c>
      <c r="C37" s="2" t="s">
        <v>1322</v>
      </c>
      <c r="D37" s="2" t="s">
        <v>1967</v>
      </c>
      <c r="E37" s="2" t="s">
        <v>1974</v>
      </c>
      <c r="F37" s="2" t="s">
        <v>1309</v>
      </c>
      <c r="G37" s="2" t="s">
        <v>1975</v>
      </c>
      <c r="H37" s="2" t="s">
        <v>1976</v>
      </c>
      <c r="I37" s="2" t="s">
        <v>1412</v>
      </c>
      <c r="J37" s="2" t="s">
        <v>383</v>
      </c>
      <c r="K37" s="2" t="s">
        <v>1977</v>
      </c>
      <c r="L37" s="2" t="s">
        <v>158</v>
      </c>
    </row>
    <row r="38" spans="1:12" ht="69.75" customHeight="1">
      <c r="A38" s="2" t="s">
        <v>160</v>
      </c>
      <c r="B38" s="2" t="s">
        <v>159</v>
      </c>
      <c r="C38" s="2" t="s">
        <v>1330</v>
      </c>
      <c r="D38" s="2" t="s">
        <v>1978</v>
      </c>
      <c r="E38" s="2" t="s">
        <v>1979</v>
      </c>
      <c r="F38" s="2" t="s">
        <v>1980</v>
      </c>
      <c r="G38" s="2" t="s">
        <v>1981</v>
      </c>
      <c r="H38" s="2" t="s">
        <v>1982</v>
      </c>
      <c r="I38" s="2" t="s">
        <v>1912</v>
      </c>
      <c r="J38" s="2" t="s">
        <v>1983</v>
      </c>
      <c r="K38" s="2" t="s">
        <v>1984</v>
      </c>
      <c r="L38" s="2" t="s">
        <v>162</v>
      </c>
    </row>
    <row r="39" spans="1:12" ht="69.75" customHeight="1">
      <c r="A39" s="2" t="s">
        <v>164</v>
      </c>
      <c r="B39" s="2" t="s">
        <v>163</v>
      </c>
      <c r="C39" s="2" t="s">
        <v>1985</v>
      </c>
      <c r="D39" s="2" t="s">
        <v>1773</v>
      </c>
      <c r="E39" s="2" t="s">
        <v>710</v>
      </c>
      <c r="F39" s="2" t="s">
        <v>1309</v>
      </c>
      <c r="G39" s="2" t="s">
        <v>1986</v>
      </c>
      <c r="H39" s="2" t="s">
        <v>1987</v>
      </c>
      <c r="I39" s="2" t="s">
        <v>1988</v>
      </c>
      <c r="J39" s="2" t="s">
        <v>383</v>
      </c>
      <c r="K39" s="2" t="s">
        <v>1989</v>
      </c>
      <c r="L39" s="2" t="s">
        <v>166</v>
      </c>
    </row>
    <row r="40" spans="1:12" ht="15.75" customHeight="1"/>
    <row r="41" spans="1:12" ht="15.75" customHeight="1"/>
    <row r="42" spans="1:12" ht="15.75" customHeight="1"/>
    <row r="43" spans="1:12" ht="15.75" customHeight="1"/>
    <row r="44" spans="1:12" ht="15.75" customHeight="1"/>
    <row r="45" spans="1:12" ht="15.75" customHeight="1"/>
    <row r="46" spans="1:12" ht="15.75" customHeight="1"/>
    <row r="47" spans="1:12" ht="15.75" customHeight="1"/>
    <row r="48" spans="1:12"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L1"/>
    <mergeCell ref="A2:L2"/>
  </mergeCells>
  <phoneticPr fontId="10" type="noConversion"/>
  <pageMargins left="0.7" right="0.7" top="0.75" bottom="0.75"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0"/>
  <sheetViews>
    <sheetView topLeftCell="A13" workbookViewId="0">
      <selection sqref="A1:N1"/>
    </sheetView>
  </sheetViews>
  <sheetFormatPr defaultColWidth="14.42578125" defaultRowHeight="15" customHeight="1"/>
  <cols>
    <col min="1" max="1" width="11.85546875" customWidth="1"/>
    <col min="2" max="2" width="8.7109375" customWidth="1"/>
    <col min="3" max="3" width="27.140625" customWidth="1"/>
    <col min="4" max="4" width="16.85546875" customWidth="1"/>
    <col min="5" max="5" width="24" customWidth="1"/>
    <col min="6" max="6" width="29.85546875" customWidth="1"/>
    <col min="7" max="7" width="43.28515625" customWidth="1"/>
    <col min="8" max="8" width="28" customWidth="1"/>
    <col min="9" max="9" width="36" customWidth="1"/>
    <col min="10" max="10" width="22" customWidth="1"/>
    <col min="11" max="11" width="9.85546875" customWidth="1"/>
    <col min="12" max="12" width="20" customWidth="1"/>
    <col min="13" max="13" width="18" customWidth="1"/>
    <col min="14" max="14" width="24" customWidth="1"/>
    <col min="15" max="26" width="8.7109375" customWidth="1"/>
  </cols>
  <sheetData>
    <row r="1" spans="1:14" ht="17.25">
      <c r="A1" s="25" t="s">
        <v>1990</v>
      </c>
      <c r="B1" s="26"/>
      <c r="C1" s="26"/>
      <c r="D1" s="26"/>
      <c r="E1" s="26"/>
      <c r="F1" s="26"/>
      <c r="G1" s="26"/>
      <c r="H1" s="26"/>
      <c r="I1" s="26"/>
      <c r="J1" s="26"/>
      <c r="K1" s="26"/>
      <c r="L1" s="26"/>
      <c r="M1" s="26"/>
      <c r="N1" s="27"/>
    </row>
    <row r="2" spans="1:14">
      <c r="A2" s="28" t="s">
        <v>1991</v>
      </c>
      <c r="B2" s="26"/>
      <c r="C2" s="26"/>
      <c r="D2" s="26"/>
      <c r="E2" s="26"/>
      <c r="F2" s="26"/>
      <c r="G2" s="26"/>
      <c r="H2" s="26"/>
      <c r="I2" s="26"/>
      <c r="J2" s="26"/>
      <c r="K2" s="26"/>
      <c r="L2" s="26"/>
      <c r="M2" s="26"/>
      <c r="N2" s="27"/>
    </row>
    <row r="4" spans="1:14">
      <c r="A4" s="1" t="s">
        <v>1356</v>
      </c>
      <c r="B4" s="1" t="s">
        <v>1357</v>
      </c>
      <c r="C4" s="1" t="s">
        <v>1358</v>
      </c>
      <c r="D4" s="1" t="s">
        <v>1992</v>
      </c>
      <c r="E4" s="1" t="s">
        <v>1993</v>
      </c>
      <c r="F4" s="1" t="s">
        <v>1994</v>
      </c>
      <c r="G4" s="1" t="s">
        <v>1995</v>
      </c>
      <c r="H4" s="1" t="s">
        <v>1996</v>
      </c>
      <c r="I4" s="1" t="s">
        <v>1997</v>
      </c>
      <c r="J4" s="1" t="s">
        <v>1363</v>
      </c>
      <c r="K4" s="1" t="s">
        <v>1362</v>
      </c>
      <c r="L4" s="1" t="s">
        <v>1998</v>
      </c>
      <c r="M4" s="1" t="s">
        <v>1999</v>
      </c>
      <c r="N4" s="1" t="s">
        <v>1268</v>
      </c>
    </row>
    <row r="5" spans="1:14" ht="162">
      <c r="A5" s="2" t="s">
        <v>1364</v>
      </c>
      <c r="B5" s="2" t="s">
        <v>1365</v>
      </c>
      <c r="C5" s="2" t="s">
        <v>1366</v>
      </c>
      <c r="D5" s="2" t="s">
        <v>2000</v>
      </c>
      <c r="E5" s="2" t="s">
        <v>2001</v>
      </c>
      <c r="F5" s="2" t="s">
        <v>2002</v>
      </c>
      <c r="G5" s="2" t="s">
        <v>2003</v>
      </c>
      <c r="H5" s="2" t="s">
        <v>2004</v>
      </c>
      <c r="I5" s="2" t="s">
        <v>2005</v>
      </c>
      <c r="J5" s="2" t="s">
        <v>17</v>
      </c>
      <c r="K5" s="2" t="s">
        <v>1269</v>
      </c>
      <c r="L5" s="2" t="s">
        <v>2006</v>
      </c>
      <c r="M5" s="2" t="s">
        <v>2007</v>
      </c>
      <c r="N5" s="2" t="s">
        <v>2008</v>
      </c>
    </row>
    <row r="6" spans="1:14" ht="40.5">
      <c r="A6" s="2" t="s">
        <v>1441</v>
      </c>
      <c r="B6" s="2" t="s">
        <v>1365</v>
      </c>
      <c r="C6" s="2" t="s">
        <v>1442</v>
      </c>
      <c r="D6" s="2" t="s">
        <v>2009</v>
      </c>
      <c r="E6" s="2" t="s">
        <v>1309</v>
      </c>
      <c r="F6" s="2" t="s">
        <v>2010</v>
      </c>
      <c r="G6" s="2" t="s">
        <v>2011</v>
      </c>
      <c r="H6" s="2" t="s">
        <v>2012</v>
      </c>
      <c r="I6" s="2" t="s">
        <v>2013</v>
      </c>
      <c r="J6" s="2" t="s">
        <v>17</v>
      </c>
      <c r="K6" s="2" t="s">
        <v>1269</v>
      </c>
      <c r="L6" s="2" t="s">
        <v>2014</v>
      </c>
      <c r="M6" s="2" t="s">
        <v>383</v>
      </c>
      <c r="N6" s="2" t="s">
        <v>2015</v>
      </c>
    </row>
    <row r="7" spans="1:14" ht="135">
      <c r="A7" s="2" t="s">
        <v>1446</v>
      </c>
      <c r="B7" s="2" t="s">
        <v>1396</v>
      </c>
      <c r="C7" s="2" t="s">
        <v>1447</v>
      </c>
      <c r="D7" s="2" t="s">
        <v>2009</v>
      </c>
      <c r="E7" s="2" t="s">
        <v>1309</v>
      </c>
      <c r="F7" s="2" t="s">
        <v>2010</v>
      </c>
      <c r="G7" s="2" t="s">
        <v>2016</v>
      </c>
      <c r="H7" s="2" t="s">
        <v>2017</v>
      </c>
      <c r="I7" s="2" t="s">
        <v>2018</v>
      </c>
      <c r="J7" s="2" t="s">
        <v>1309</v>
      </c>
      <c r="K7" s="2" t="s">
        <v>1269</v>
      </c>
      <c r="L7" s="2" t="s">
        <v>2019</v>
      </c>
      <c r="M7" s="2" t="s">
        <v>383</v>
      </c>
      <c r="N7" s="2" t="s">
        <v>2020</v>
      </c>
    </row>
    <row r="8" spans="1:14" ht="243">
      <c r="A8" s="2" t="s">
        <v>1451</v>
      </c>
      <c r="B8" s="2" t="s">
        <v>1396</v>
      </c>
      <c r="C8" s="2" t="s">
        <v>1452</v>
      </c>
      <c r="D8" s="2" t="s">
        <v>2021</v>
      </c>
      <c r="E8" s="2" t="s">
        <v>1453</v>
      </c>
      <c r="F8" s="2" t="s">
        <v>2022</v>
      </c>
      <c r="G8" s="2" t="s">
        <v>2023</v>
      </c>
      <c r="H8" s="2" t="s">
        <v>2024</v>
      </c>
      <c r="I8" s="2" t="s">
        <v>2025</v>
      </c>
      <c r="J8" s="2" t="s">
        <v>2026</v>
      </c>
      <c r="K8" s="2" t="s">
        <v>1278</v>
      </c>
      <c r="L8" s="2" t="s">
        <v>2027</v>
      </c>
      <c r="M8" s="2" t="s">
        <v>383</v>
      </c>
      <c r="N8" s="2" t="s">
        <v>2028</v>
      </c>
    </row>
    <row r="9" spans="1:14" ht="94.5">
      <c r="A9" s="2" t="s">
        <v>1371</v>
      </c>
      <c r="B9" s="2" t="s">
        <v>1365</v>
      </c>
      <c r="C9" s="2" t="s">
        <v>1372</v>
      </c>
      <c r="D9" s="2" t="s">
        <v>2009</v>
      </c>
      <c r="E9" s="2" t="s">
        <v>1373</v>
      </c>
      <c r="F9" s="2" t="s">
        <v>2029</v>
      </c>
      <c r="G9" s="2" t="s">
        <v>2030</v>
      </c>
      <c r="H9" s="2" t="s">
        <v>2031</v>
      </c>
      <c r="I9" s="2" t="s">
        <v>2032</v>
      </c>
      <c r="J9" s="2" t="s">
        <v>1309</v>
      </c>
      <c r="K9" s="2" t="s">
        <v>1278</v>
      </c>
      <c r="L9" s="2" t="s">
        <v>2033</v>
      </c>
      <c r="M9" s="2" t="s">
        <v>383</v>
      </c>
      <c r="N9" s="2" t="s">
        <v>2034</v>
      </c>
    </row>
    <row r="10" spans="1:14" ht="54">
      <c r="A10" s="2" t="s">
        <v>1458</v>
      </c>
      <c r="B10" s="2" t="s">
        <v>1365</v>
      </c>
      <c r="C10" s="2" t="s">
        <v>1459</v>
      </c>
      <c r="D10" s="2" t="s">
        <v>2009</v>
      </c>
      <c r="E10" s="2" t="s">
        <v>1460</v>
      </c>
      <c r="F10" s="2" t="s">
        <v>2035</v>
      </c>
      <c r="G10" s="2" t="s">
        <v>2036</v>
      </c>
      <c r="H10" s="2" t="s">
        <v>2037</v>
      </c>
      <c r="I10" s="2" t="s">
        <v>2038</v>
      </c>
      <c r="J10" s="2" t="s">
        <v>1309</v>
      </c>
      <c r="K10" s="2" t="s">
        <v>166</v>
      </c>
      <c r="L10" s="2" t="s">
        <v>2039</v>
      </c>
      <c r="M10" s="2" t="s">
        <v>383</v>
      </c>
      <c r="N10" s="2" t="s">
        <v>2040</v>
      </c>
    </row>
    <row r="11" spans="1:14" ht="148.5">
      <c r="A11" s="2" t="s">
        <v>1377</v>
      </c>
      <c r="B11" s="2" t="s">
        <v>1365</v>
      </c>
      <c r="C11" s="2" t="s">
        <v>1378</v>
      </c>
      <c r="D11" s="2" t="s">
        <v>2009</v>
      </c>
      <c r="E11" s="2" t="s">
        <v>2041</v>
      </c>
      <c r="F11" s="2" t="s">
        <v>2042</v>
      </c>
      <c r="G11" s="2" t="s">
        <v>2043</v>
      </c>
      <c r="H11" s="2" t="s">
        <v>2044</v>
      </c>
      <c r="I11" s="2" t="s">
        <v>2045</v>
      </c>
      <c r="J11" s="2" t="s">
        <v>1789</v>
      </c>
      <c r="K11" s="2" t="s">
        <v>1287</v>
      </c>
      <c r="L11" s="2" t="s">
        <v>188</v>
      </c>
      <c r="M11" s="2" t="s">
        <v>383</v>
      </c>
      <c r="N11" s="2" t="s">
        <v>2046</v>
      </c>
    </row>
    <row r="12" spans="1:14" ht="94.5">
      <c r="A12" s="2" t="s">
        <v>1383</v>
      </c>
      <c r="B12" s="2" t="s">
        <v>1365</v>
      </c>
      <c r="C12" s="2" t="s">
        <v>2047</v>
      </c>
      <c r="D12" s="2" t="s">
        <v>2009</v>
      </c>
      <c r="E12" s="2" t="s">
        <v>2048</v>
      </c>
      <c r="F12" s="2" t="s">
        <v>2049</v>
      </c>
      <c r="G12" s="2" t="s">
        <v>2050</v>
      </c>
      <c r="H12" s="2" t="s">
        <v>2051</v>
      </c>
      <c r="I12" s="2" t="s">
        <v>2052</v>
      </c>
      <c r="J12" s="2" t="s">
        <v>1309</v>
      </c>
      <c r="K12" s="2" t="s">
        <v>1287</v>
      </c>
      <c r="L12" s="2" t="s">
        <v>2053</v>
      </c>
      <c r="M12" s="2" t="s">
        <v>383</v>
      </c>
      <c r="N12" s="2" t="s">
        <v>2054</v>
      </c>
    </row>
    <row r="13" spans="1:14" ht="175.5">
      <c r="A13" s="2" t="s">
        <v>385</v>
      </c>
      <c r="B13" s="2" t="s">
        <v>1396</v>
      </c>
      <c r="C13" s="2" t="s">
        <v>1464</v>
      </c>
      <c r="D13" s="2" t="s">
        <v>2009</v>
      </c>
      <c r="E13" s="2" t="s">
        <v>1465</v>
      </c>
      <c r="F13" s="2" t="s">
        <v>2055</v>
      </c>
      <c r="G13" s="2" t="s">
        <v>2056</v>
      </c>
      <c r="H13" s="2" t="s">
        <v>2057</v>
      </c>
      <c r="I13" s="2" t="s">
        <v>2058</v>
      </c>
      <c r="J13" s="2" t="s">
        <v>1309</v>
      </c>
      <c r="K13" s="2" t="s">
        <v>166</v>
      </c>
      <c r="L13" s="2" t="s">
        <v>2059</v>
      </c>
      <c r="M13" s="2" t="s">
        <v>383</v>
      </c>
      <c r="N13" s="2" t="s">
        <v>2060</v>
      </c>
    </row>
    <row r="14" spans="1:14" ht="175.5">
      <c r="A14" s="2" t="s">
        <v>1389</v>
      </c>
      <c r="B14" s="2" t="s">
        <v>1365</v>
      </c>
      <c r="C14" s="2" t="s">
        <v>1390</v>
      </c>
      <c r="D14" s="2" t="s">
        <v>2061</v>
      </c>
      <c r="E14" s="2" t="s">
        <v>2062</v>
      </c>
      <c r="F14" s="2" t="s">
        <v>2063</v>
      </c>
      <c r="G14" s="2" t="s">
        <v>2064</v>
      </c>
      <c r="H14" s="2" t="s">
        <v>2065</v>
      </c>
      <c r="I14" s="2" t="s">
        <v>2066</v>
      </c>
      <c r="J14" s="2" t="s">
        <v>2067</v>
      </c>
      <c r="K14" s="2" t="s">
        <v>1296</v>
      </c>
      <c r="L14" s="2" t="s">
        <v>2068</v>
      </c>
      <c r="M14" s="2" t="s">
        <v>2069</v>
      </c>
      <c r="N14" s="2" t="s">
        <v>2070</v>
      </c>
    </row>
    <row r="15" spans="1:14" ht="121.5">
      <c r="A15" s="2" t="s">
        <v>1395</v>
      </c>
      <c r="B15" s="2" t="s">
        <v>1396</v>
      </c>
      <c r="C15" s="2" t="s">
        <v>1397</v>
      </c>
      <c r="D15" s="2" t="s">
        <v>2009</v>
      </c>
      <c r="E15" s="2" t="s">
        <v>1398</v>
      </c>
      <c r="F15" s="2" t="s">
        <v>2071</v>
      </c>
      <c r="G15" s="2" t="s">
        <v>2072</v>
      </c>
      <c r="H15" s="2" t="s">
        <v>2073</v>
      </c>
      <c r="I15" s="2" t="s">
        <v>2074</v>
      </c>
      <c r="J15" s="2" t="s">
        <v>1309</v>
      </c>
      <c r="K15" s="2" t="s">
        <v>1296</v>
      </c>
      <c r="L15" s="2" t="s">
        <v>2075</v>
      </c>
      <c r="M15" s="2" t="s">
        <v>383</v>
      </c>
      <c r="N15" s="2" t="s">
        <v>2076</v>
      </c>
    </row>
    <row r="16" spans="1:14" ht="148.5">
      <c r="A16" s="2" t="s">
        <v>1402</v>
      </c>
      <c r="B16" s="2" t="s">
        <v>1396</v>
      </c>
      <c r="C16" s="2" t="s">
        <v>1311</v>
      </c>
      <c r="D16" s="2" t="s">
        <v>2009</v>
      </c>
      <c r="E16" s="2" t="s">
        <v>1398</v>
      </c>
      <c r="F16" s="2" t="s">
        <v>2071</v>
      </c>
      <c r="G16" s="2" t="s">
        <v>2077</v>
      </c>
      <c r="H16" s="2" t="s">
        <v>2078</v>
      </c>
      <c r="I16" s="2" t="s">
        <v>2079</v>
      </c>
      <c r="J16" s="2" t="s">
        <v>1309</v>
      </c>
      <c r="K16" s="2" t="s">
        <v>1305</v>
      </c>
      <c r="L16" s="2" t="s">
        <v>2080</v>
      </c>
      <c r="M16" s="2" t="s">
        <v>383</v>
      </c>
      <c r="N16" s="2" t="s">
        <v>2081</v>
      </c>
    </row>
    <row r="17" spans="1:14" ht="283.5">
      <c r="A17" s="2" t="s">
        <v>1407</v>
      </c>
      <c r="B17" s="2" t="s">
        <v>1396</v>
      </c>
      <c r="C17" s="2" t="s">
        <v>1408</v>
      </c>
      <c r="D17" s="2" t="s">
        <v>2009</v>
      </c>
      <c r="E17" s="2" t="s">
        <v>1398</v>
      </c>
      <c r="F17" s="2" t="s">
        <v>2071</v>
      </c>
      <c r="G17" s="2" t="s">
        <v>2082</v>
      </c>
      <c r="H17" s="2" t="s">
        <v>2083</v>
      </c>
      <c r="I17" s="2" t="s">
        <v>2084</v>
      </c>
      <c r="J17" s="2" t="s">
        <v>1309</v>
      </c>
      <c r="K17" s="2" t="s">
        <v>269</v>
      </c>
      <c r="L17" s="2" t="s">
        <v>2085</v>
      </c>
      <c r="M17" s="2" t="s">
        <v>383</v>
      </c>
      <c r="N17" s="2" t="s">
        <v>2086</v>
      </c>
    </row>
    <row r="18" spans="1:14" ht="324">
      <c r="A18" s="2" t="s">
        <v>1412</v>
      </c>
      <c r="B18" s="2" t="s">
        <v>1396</v>
      </c>
      <c r="C18" s="2" t="s">
        <v>1327</v>
      </c>
      <c r="D18" s="2" t="s">
        <v>2009</v>
      </c>
      <c r="E18" s="2" t="s">
        <v>2087</v>
      </c>
      <c r="F18" s="2" t="s">
        <v>2088</v>
      </c>
      <c r="G18" s="2" t="s">
        <v>2089</v>
      </c>
      <c r="H18" s="2" t="s">
        <v>2090</v>
      </c>
      <c r="I18" s="2" t="s">
        <v>2091</v>
      </c>
      <c r="J18" s="2" t="s">
        <v>1309</v>
      </c>
      <c r="K18" s="2" t="s">
        <v>158</v>
      </c>
      <c r="L18" s="2" t="s">
        <v>2092</v>
      </c>
      <c r="M18" s="2" t="s">
        <v>383</v>
      </c>
      <c r="N18" s="2" t="s">
        <v>2093</v>
      </c>
    </row>
    <row r="19" spans="1:14" ht="216">
      <c r="A19" s="2" t="s">
        <v>1417</v>
      </c>
      <c r="B19" s="2" t="s">
        <v>1365</v>
      </c>
      <c r="C19" s="2" t="s">
        <v>1418</v>
      </c>
      <c r="D19" s="2" t="s">
        <v>2009</v>
      </c>
      <c r="E19" s="2" t="s">
        <v>2094</v>
      </c>
      <c r="F19" s="2" t="s">
        <v>2095</v>
      </c>
      <c r="G19" s="2" t="s">
        <v>2096</v>
      </c>
      <c r="H19" s="2" t="s">
        <v>2097</v>
      </c>
      <c r="I19" s="2" t="s">
        <v>2098</v>
      </c>
      <c r="J19" s="2" t="s">
        <v>478</v>
      </c>
      <c r="K19" s="2" t="s">
        <v>162</v>
      </c>
      <c r="L19" s="2" t="s">
        <v>2099</v>
      </c>
      <c r="M19" s="2" t="s">
        <v>1919</v>
      </c>
      <c r="N19" s="2" t="s">
        <v>2100</v>
      </c>
    </row>
    <row r="20" spans="1:14" ht="81">
      <c r="A20" s="2" t="s">
        <v>1422</v>
      </c>
      <c r="B20" s="2" t="s">
        <v>1423</v>
      </c>
      <c r="C20" s="2" t="s">
        <v>2101</v>
      </c>
      <c r="D20" s="2" t="s">
        <v>2009</v>
      </c>
      <c r="E20" s="2" t="s">
        <v>2102</v>
      </c>
      <c r="F20" s="2" t="s">
        <v>2103</v>
      </c>
      <c r="G20" s="2" t="s">
        <v>2104</v>
      </c>
      <c r="H20" s="2" t="s">
        <v>2105</v>
      </c>
      <c r="I20" s="2" t="s">
        <v>2106</v>
      </c>
      <c r="J20" s="2" t="s">
        <v>1309</v>
      </c>
      <c r="K20" s="2" t="s">
        <v>162</v>
      </c>
      <c r="L20" s="2" t="s">
        <v>2107</v>
      </c>
      <c r="M20" s="2" t="s">
        <v>383</v>
      </c>
      <c r="N20" s="2" t="s">
        <v>2108</v>
      </c>
    </row>
    <row r="21" spans="1:14" ht="15.75" customHeight="1">
      <c r="A21" s="2" t="s">
        <v>1429</v>
      </c>
      <c r="B21" s="2" t="s">
        <v>1396</v>
      </c>
      <c r="C21" s="2" t="s">
        <v>1430</v>
      </c>
      <c r="D21" s="2" t="s">
        <v>2009</v>
      </c>
      <c r="E21" s="2" t="s">
        <v>1398</v>
      </c>
      <c r="F21" s="2" t="s">
        <v>2071</v>
      </c>
      <c r="G21" s="2" t="s">
        <v>2109</v>
      </c>
      <c r="H21" s="2" t="s">
        <v>2110</v>
      </c>
      <c r="I21" s="2" t="s">
        <v>2111</v>
      </c>
      <c r="J21" s="2" t="s">
        <v>2112</v>
      </c>
      <c r="K21" s="2" t="s">
        <v>325</v>
      </c>
      <c r="L21" s="2" t="s">
        <v>2113</v>
      </c>
      <c r="M21" s="2" t="s">
        <v>2114</v>
      </c>
      <c r="N21" s="2" t="s">
        <v>2115</v>
      </c>
    </row>
    <row r="22" spans="1:14" ht="15.75" customHeight="1">
      <c r="A22" s="2" t="s">
        <v>1469</v>
      </c>
      <c r="B22" s="2" t="s">
        <v>1396</v>
      </c>
      <c r="C22" s="2" t="s">
        <v>1470</v>
      </c>
      <c r="D22" s="2" t="s">
        <v>2009</v>
      </c>
      <c r="E22" s="2" t="s">
        <v>1471</v>
      </c>
      <c r="F22" s="2" t="s">
        <v>2116</v>
      </c>
      <c r="G22" s="2" t="s">
        <v>2117</v>
      </c>
      <c r="H22" s="2" t="s">
        <v>2118</v>
      </c>
      <c r="I22" s="2" t="s">
        <v>2119</v>
      </c>
      <c r="J22" s="2" t="s">
        <v>1309</v>
      </c>
      <c r="K22" s="2" t="s">
        <v>325</v>
      </c>
      <c r="L22" s="2" t="s">
        <v>2120</v>
      </c>
      <c r="M22" s="2" t="s">
        <v>383</v>
      </c>
      <c r="N22" s="2" t="s">
        <v>2121</v>
      </c>
    </row>
    <row r="23" spans="1:14" ht="15.75" customHeight="1">
      <c r="A23" s="2" t="s">
        <v>1474</v>
      </c>
      <c r="B23" s="2" t="s">
        <v>1396</v>
      </c>
      <c r="C23" s="2" t="s">
        <v>1475</v>
      </c>
      <c r="D23" s="2" t="s">
        <v>2009</v>
      </c>
      <c r="E23" s="2" t="s">
        <v>1476</v>
      </c>
      <c r="F23" s="2" t="s">
        <v>2122</v>
      </c>
      <c r="G23" s="2" t="s">
        <v>2123</v>
      </c>
      <c r="H23" s="2" t="s">
        <v>2124</v>
      </c>
      <c r="I23" s="2" t="s">
        <v>2125</v>
      </c>
      <c r="J23" s="2" t="s">
        <v>1309</v>
      </c>
      <c r="K23" s="2" t="s">
        <v>325</v>
      </c>
      <c r="L23" s="2" t="s">
        <v>2126</v>
      </c>
      <c r="M23" s="2" t="s">
        <v>383</v>
      </c>
      <c r="N23" s="2" t="s">
        <v>2127</v>
      </c>
    </row>
    <row r="24" spans="1:14" ht="15.75" customHeight="1">
      <c r="A24" s="2" t="s">
        <v>374</v>
      </c>
      <c r="B24" s="2" t="s">
        <v>1434</v>
      </c>
      <c r="C24" s="2" t="s">
        <v>2128</v>
      </c>
      <c r="D24" s="2" t="s">
        <v>2009</v>
      </c>
      <c r="E24" s="2" t="s">
        <v>2129</v>
      </c>
      <c r="F24" s="2" t="s">
        <v>2130</v>
      </c>
      <c r="G24" s="2" t="s">
        <v>2131</v>
      </c>
      <c r="H24" s="2" t="s">
        <v>2132</v>
      </c>
      <c r="I24" s="2" t="s">
        <v>2133</v>
      </c>
      <c r="J24" s="2" t="s">
        <v>1439</v>
      </c>
      <c r="K24" s="2" t="s">
        <v>166</v>
      </c>
      <c r="L24" s="2" t="s">
        <v>2134</v>
      </c>
      <c r="M24" s="2" t="s">
        <v>383</v>
      </c>
      <c r="N24" s="2" t="s">
        <v>2135</v>
      </c>
    </row>
    <row r="25" spans="1:14" ht="15.75" customHeight="1"/>
    <row r="26" spans="1:14" ht="15.75" customHeight="1"/>
    <row r="27" spans="1:14" ht="15.75" customHeight="1"/>
    <row r="28" spans="1:14" ht="15.75" customHeight="1"/>
    <row r="29" spans="1:14" ht="15.75" customHeight="1"/>
    <row r="30" spans="1:14" ht="15.75" customHeight="1"/>
    <row r="31" spans="1:14" ht="15.75" customHeight="1"/>
    <row r="32" spans="1: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N1"/>
    <mergeCell ref="A2:N2"/>
  </mergeCells>
  <phoneticPr fontId="10" type="noConversion"/>
  <pageMargins left="0.7" right="0.7" top="0.75" bottom="0.75"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00"/>
  <sheetViews>
    <sheetView workbookViewId="0">
      <selection sqref="A1:J1"/>
    </sheetView>
  </sheetViews>
  <sheetFormatPr defaultColWidth="14.42578125" defaultRowHeight="15" customHeight="1"/>
  <cols>
    <col min="1" max="1" width="10" customWidth="1"/>
    <col min="2" max="2" width="16" customWidth="1"/>
    <col min="3" max="3" width="22" customWidth="1"/>
    <col min="4" max="4" width="10" customWidth="1"/>
    <col min="5" max="5" width="12" customWidth="1"/>
    <col min="6" max="6" width="20" customWidth="1"/>
    <col min="7" max="7" width="22" customWidth="1"/>
    <col min="8" max="9" width="24" customWidth="1"/>
    <col min="10" max="10" width="18" customWidth="1"/>
    <col min="11" max="26" width="8.7109375" customWidth="1"/>
  </cols>
  <sheetData>
    <row r="1" spans="1:10" ht="17.25">
      <c r="A1" s="25" t="s">
        <v>2136</v>
      </c>
      <c r="B1" s="26"/>
      <c r="C1" s="26"/>
      <c r="D1" s="26"/>
      <c r="E1" s="26"/>
      <c r="F1" s="26"/>
      <c r="G1" s="26"/>
      <c r="H1" s="26"/>
      <c r="I1" s="26"/>
      <c r="J1" s="27"/>
    </row>
    <row r="2" spans="1:10">
      <c r="A2" s="28" t="s">
        <v>2137</v>
      </c>
      <c r="B2" s="26"/>
      <c r="C2" s="26"/>
      <c r="D2" s="26"/>
      <c r="E2" s="26"/>
      <c r="F2" s="26"/>
      <c r="G2" s="26"/>
      <c r="H2" s="26"/>
      <c r="I2" s="26"/>
      <c r="J2" s="27"/>
    </row>
    <row r="4" spans="1:10">
      <c r="A4" s="1" t="s">
        <v>1262</v>
      </c>
      <c r="B4" s="1" t="s">
        <v>1263</v>
      </c>
      <c r="C4" s="1" t="s">
        <v>2138</v>
      </c>
      <c r="D4" s="1" t="s">
        <v>2139</v>
      </c>
      <c r="E4" s="1" t="s">
        <v>1356</v>
      </c>
      <c r="F4" s="1" t="s">
        <v>2140</v>
      </c>
      <c r="G4" s="1" t="s">
        <v>2141</v>
      </c>
      <c r="H4" s="1" t="s">
        <v>2142</v>
      </c>
      <c r="I4" s="1" t="s">
        <v>2143</v>
      </c>
      <c r="J4" s="1" t="s">
        <v>9</v>
      </c>
    </row>
    <row r="5" spans="1:10" ht="57" customHeight="1">
      <c r="A5" s="2" t="s">
        <v>1269</v>
      </c>
      <c r="B5" s="2" t="s">
        <v>1270</v>
      </c>
      <c r="C5" s="2" t="s">
        <v>2144</v>
      </c>
      <c r="D5" s="2" t="s">
        <v>2145</v>
      </c>
      <c r="E5" s="2" t="s">
        <v>1446</v>
      </c>
      <c r="F5" s="2" t="s">
        <v>2146</v>
      </c>
      <c r="G5" s="2" t="s">
        <v>2147</v>
      </c>
      <c r="H5" s="2" t="s">
        <v>2148</v>
      </c>
      <c r="I5" s="2" t="s">
        <v>2149</v>
      </c>
      <c r="J5" s="2" t="s">
        <v>2150</v>
      </c>
    </row>
    <row r="6" spans="1:10" ht="57" customHeight="1">
      <c r="A6" s="2" t="s">
        <v>1269</v>
      </c>
      <c r="B6" s="2" t="s">
        <v>1270</v>
      </c>
      <c r="C6" s="2" t="s">
        <v>2151</v>
      </c>
      <c r="D6" s="2" t="s">
        <v>2152</v>
      </c>
      <c r="E6" s="2" t="s">
        <v>1364</v>
      </c>
      <c r="F6" s="2" t="s">
        <v>2001</v>
      </c>
      <c r="G6" s="2" t="s">
        <v>2153</v>
      </c>
      <c r="H6" s="2" t="s">
        <v>2154</v>
      </c>
      <c r="I6" s="2" t="s">
        <v>2155</v>
      </c>
      <c r="J6" s="2" t="s">
        <v>2156</v>
      </c>
    </row>
    <row r="7" spans="1:10" ht="57" customHeight="1">
      <c r="A7" s="2" t="s">
        <v>1278</v>
      </c>
      <c r="B7" s="2" t="s">
        <v>1279</v>
      </c>
      <c r="C7" s="2" t="s">
        <v>2157</v>
      </c>
      <c r="D7" s="2" t="s">
        <v>2145</v>
      </c>
      <c r="E7" s="2" t="s">
        <v>1451</v>
      </c>
      <c r="F7" s="2" t="s">
        <v>1453</v>
      </c>
      <c r="G7" s="2" t="s">
        <v>1454</v>
      </c>
      <c r="H7" s="2" t="s">
        <v>2158</v>
      </c>
      <c r="I7" s="2" t="s">
        <v>2159</v>
      </c>
      <c r="J7" s="2" t="s">
        <v>2160</v>
      </c>
    </row>
    <row r="8" spans="1:10" ht="57" customHeight="1">
      <c r="A8" s="2" t="s">
        <v>1278</v>
      </c>
      <c r="B8" s="2" t="s">
        <v>1279</v>
      </c>
      <c r="C8" s="2" t="s">
        <v>2161</v>
      </c>
      <c r="D8" s="2" t="s">
        <v>2152</v>
      </c>
      <c r="E8" s="2" t="s">
        <v>1371</v>
      </c>
      <c r="F8" s="2" t="s">
        <v>1373</v>
      </c>
      <c r="G8" s="2" t="s">
        <v>1374</v>
      </c>
      <c r="H8" s="2" t="s">
        <v>2162</v>
      </c>
      <c r="I8" s="2" t="s">
        <v>2163</v>
      </c>
      <c r="J8" s="2" t="s">
        <v>2164</v>
      </c>
    </row>
    <row r="9" spans="1:10" ht="57" customHeight="1">
      <c r="A9" s="2" t="s">
        <v>1287</v>
      </c>
      <c r="B9" s="2" t="s">
        <v>1288</v>
      </c>
      <c r="C9" s="2" t="s">
        <v>2165</v>
      </c>
      <c r="D9" s="2" t="s">
        <v>2145</v>
      </c>
      <c r="E9" s="2" t="s">
        <v>1377</v>
      </c>
      <c r="F9" s="2" t="s">
        <v>1291</v>
      </c>
      <c r="G9" s="2" t="s">
        <v>2166</v>
      </c>
      <c r="H9" s="2" t="s">
        <v>2167</v>
      </c>
      <c r="I9" s="2" t="s">
        <v>2168</v>
      </c>
      <c r="J9" s="2" t="s">
        <v>2169</v>
      </c>
    </row>
    <row r="10" spans="1:10" ht="57" customHeight="1">
      <c r="A10" s="2" t="s">
        <v>1287</v>
      </c>
      <c r="B10" s="2" t="s">
        <v>1288</v>
      </c>
      <c r="C10" s="2" t="s">
        <v>2170</v>
      </c>
      <c r="D10" s="2" t="s">
        <v>2152</v>
      </c>
      <c r="E10" s="2" t="s">
        <v>1383</v>
      </c>
      <c r="F10" s="2" t="s">
        <v>2171</v>
      </c>
      <c r="G10" s="2" t="s">
        <v>2172</v>
      </c>
      <c r="H10" s="2" t="s">
        <v>2173</v>
      </c>
      <c r="I10" s="2" t="s">
        <v>2174</v>
      </c>
      <c r="J10" s="2" t="s">
        <v>1388</v>
      </c>
    </row>
    <row r="11" spans="1:10" ht="57" customHeight="1">
      <c r="A11" s="2" t="s">
        <v>1296</v>
      </c>
      <c r="B11" s="2" t="s">
        <v>1297</v>
      </c>
      <c r="C11" s="2" t="s">
        <v>2175</v>
      </c>
      <c r="D11" s="2" t="s">
        <v>2145</v>
      </c>
      <c r="E11" s="2" t="s">
        <v>1389</v>
      </c>
      <c r="F11" s="2" t="s">
        <v>2176</v>
      </c>
      <c r="G11" s="2" t="s">
        <v>2177</v>
      </c>
      <c r="H11" s="2" t="s">
        <v>2178</v>
      </c>
      <c r="I11" s="2" t="s">
        <v>2179</v>
      </c>
      <c r="J11" s="2" t="s">
        <v>2180</v>
      </c>
    </row>
    <row r="12" spans="1:10" ht="57" customHeight="1">
      <c r="A12" s="2" t="s">
        <v>1296</v>
      </c>
      <c r="B12" s="2" t="s">
        <v>1297</v>
      </c>
      <c r="C12" s="2" t="s">
        <v>2181</v>
      </c>
      <c r="D12" s="2" t="s">
        <v>2152</v>
      </c>
      <c r="E12" s="2" t="s">
        <v>1395</v>
      </c>
      <c r="F12" s="2" t="s">
        <v>1398</v>
      </c>
      <c r="G12" s="2" t="s">
        <v>2182</v>
      </c>
      <c r="H12" s="2" t="s">
        <v>2183</v>
      </c>
      <c r="I12" s="2" t="s">
        <v>2184</v>
      </c>
      <c r="J12" s="2" t="s">
        <v>2185</v>
      </c>
    </row>
    <row r="13" spans="1:10" ht="57" customHeight="1">
      <c r="A13" s="2" t="s">
        <v>1305</v>
      </c>
      <c r="B13" s="2" t="s">
        <v>1306</v>
      </c>
      <c r="C13" s="2" t="s">
        <v>2186</v>
      </c>
      <c r="D13" s="2" t="s">
        <v>2145</v>
      </c>
      <c r="E13" s="2" t="s">
        <v>1402</v>
      </c>
      <c r="F13" s="2" t="s">
        <v>1398</v>
      </c>
      <c r="G13" s="2" t="s">
        <v>2187</v>
      </c>
      <c r="H13" s="2" t="s">
        <v>2188</v>
      </c>
      <c r="I13" s="2" t="s">
        <v>2189</v>
      </c>
      <c r="J13" s="2" t="s">
        <v>2190</v>
      </c>
    </row>
    <row r="14" spans="1:10" ht="57" customHeight="1">
      <c r="A14" s="2" t="s">
        <v>269</v>
      </c>
      <c r="B14" s="2" t="s">
        <v>1314</v>
      </c>
      <c r="C14" s="2" t="s">
        <v>2191</v>
      </c>
      <c r="D14" s="2" t="s">
        <v>2145</v>
      </c>
      <c r="E14" s="2" t="s">
        <v>1407</v>
      </c>
      <c r="F14" s="2" t="s">
        <v>1398</v>
      </c>
      <c r="G14" s="2" t="s">
        <v>2192</v>
      </c>
      <c r="H14" s="2" t="s">
        <v>2193</v>
      </c>
      <c r="I14" s="2" t="s">
        <v>2194</v>
      </c>
      <c r="J14" s="2" t="s">
        <v>2195</v>
      </c>
    </row>
    <row r="15" spans="1:10" ht="57" customHeight="1">
      <c r="A15" s="2" t="s">
        <v>158</v>
      </c>
      <c r="B15" s="2" t="s">
        <v>1322</v>
      </c>
      <c r="C15" s="2" t="s">
        <v>2196</v>
      </c>
      <c r="D15" s="2" t="s">
        <v>2145</v>
      </c>
      <c r="E15" s="2" t="s">
        <v>1412</v>
      </c>
      <c r="F15" s="2" t="s">
        <v>2197</v>
      </c>
      <c r="G15" s="2" t="s">
        <v>2198</v>
      </c>
      <c r="H15" s="2" t="s">
        <v>2199</v>
      </c>
      <c r="I15" s="2" t="s">
        <v>2200</v>
      </c>
      <c r="J15" s="2" t="s">
        <v>2201</v>
      </c>
    </row>
    <row r="16" spans="1:10" ht="57" customHeight="1">
      <c r="A16" s="2" t="s">
        <v>162</v>
      </c>
      <c r="B16" s="2" t="s">
        <v>1330</v>
      </c>
      <c r="C16" s="2" t="s">
        <v>2202</v>
      </c>
      <c r="D16" s="2" t="s">
        <v>2145</v>
      </c>
      <c r="E16" s="2" t="s">
        <v>1417</v>
      </c>
      <c r="F16" s="2" t="s">
        <v>2203</v>
      </c>
      <c r="G16" s="2" t="s">
        <v>2204</v>
      </c>
      <c r="H16" s="2" t="s">
        <v>2205</v>
      </c>
      <c r="I16" s="2" t="s">
        <v>2206</v>
      </c>
      <c r="J16" s="2" t="s">
        <v>2207</v>
      </c>
    </row>
    <row r="17" spans="1:10" ht="57" customHeight="1">
      <c r="A17" s="2" t="s">
        <v>162</v>
      </c>
      <c r="B17" s="2" t="s">
        <v>1330</v>
      </c>
      <c r="C17" s="2" t="s">
        <v>2208</v>
      </c>
      <c r="D17" s="2" t="s">
        <v>2152</v>
      </c>
      <c r="E17" s="2" t="s">
        <v>1422</v>
      </c>
      <c r="F17" s="2" t="s">
        <v>2209</v>
      </c>
      <c r="G17" s="2" t="s">
        <v>2210</v>
      </c>
      <c r="H17" s="2" t="s">
        <v>2211</v>
      </c>
      <c r="I17" s="2" t="s">
        <v>2212</v>
      </c>
      <c r="J17" s="2" t="s">
        <v>2213</v>
      </c>
    </row>
    <row r="18" spans="1:10" ht="57" customHeight="1">
      <c r="A18" s="2" t="s">
        <v>325</v>
      </c>
      <c r="B18" s="2" t="s">
        <v>1338</v>
      </c>
      <c r="C18" s="2" t="s">
        <v>2214</v>
      </c>
      <c r="D18" s="2" t="s">
        <v>2145</v>
      </c>
      <c r="E18" s="2" t="s">
        <v>1429</v>
      </c>
      <c r="F18" s="2" t="s">
        <v>1398</v>
      </c>
      <c r="G18" s="2" t="s">
        <v>2215</v>
      </c>
      <c r="H18" s="2" t="s">
        <v>2216</v>
      </c>
      <c r="I18" s="2" t="s">
        <v>2217</v>
      </c>
      <c r="J18" s="2" t="s">
        <v>2218</v>
      </c>
    </row>
    <row r="19" spans="1:10" ht="57" customHeight="1">
      <c r="A19" s="2" t="s">
        <v>325</v>
      </c>
      <c r="B19" s="2" t="s">
        <v>1338</v>
      </c>
      <c r="C19" s="2" t="s">
        <v>2219</v>
      </c>
      <c r="D19" s="2" t="s">
        <v>2152</v>
      </c>
      <c r="E19" s="2" t="s">
        <v>1469</v>
      </c>
      <c r="F19" s="2" t="s">
        <v>1471</v>
      </c>
      <c r="G19" s="2" t="s">
        <v>1472</v>
      </c>
      <c r="H19" s="2" t="s">
        <v>2220</v>
      </c>
      <c r="I19" s="2" t="s">
        <v>1344</v>
      </c>
      <c r="J19" s="2" t="s">
        <v>2221</v>
      </c>
    </row>
    <row r="20" spans="1:10" ht="57" customHeight="1">
      <c r="A20" s="2" t="s">
        <v>325</v>
      </c>
      <c r="B20" s="2" t="s">
        <v>1338</v>
      </c>
      <c r="C20" s="2" t="s">
        <v>2222</v>
      </c>
      <c r="D20" s="2" t="s">
        <v>2223</v>
      </c>
      <c r="E20" s="2" t="s">
        <v>1474</v>
      </c>
      <c r="F20" s="2" t="s">
        <v>1476</v>
      </c>
      <c r="G20" s="2" t="s">
        <v>2224</v>
      </c>
      <c r="H20" s="2" t="s">
        <v>2225</v>
      </c>
      <c r="I20" s="2" t="s">
        <v>2226</v>
      </c>
      <c r="J20" s="2" t="s">
        <v>2227</v>
      </c>
    </row>
    <row r="21" spans="1:10" ht="57" customHeight="1">
      <c r="A21" s="2" t="s">
        <v>166</v>
      </c>
      <c r="B21" s="2" t="s">
        <v>1346</v>
      </c>
      <c r="C21" s="2" t="s">
        <v>1467</v>
      </c>
      <c r="D21" s="2" t="s">
        <v>2145</v>
      </c>
      <c r="E21" s="2" t="s">
        <v>385</v>
      </c>
      <c r="F21" s="2" t="s">
        <v>1465</v>
      </c>
      <c r="G21" s="2" t="s">
        <v>1466</v>
      </c>
      <c r="H21" s="2" t="s">
        <v>2228</v>
      </c>
      <c r="I21" s="2" t="s">
        <v>2229</v>
      </c>
      <c r="J21" s="2" t="s">
        <v>2230</v>
      </c>
    </row>
    <row r="22" spans="1:10" ht="57" customHeight="1">
      <c r="A22" s="2" t="s">
        <v>166</v>
      </c>
      <c r="B22" s="2" t="s">
        <v>1346</v>
      </c>
      <c r="C22" s="2" t="s">
        <v>2231</v>
      </c>
      <c r="D22" s="2" t="s">
        <v>2152</v>
      </c>
      <c r="E22" s="2" t="s">
        <v>1458</v>
      </c>
      <c r="F22" s="2" t="s">
        <v>1460</v>
      </c>
      <c r="G22" s="2" t="s">
        <v>1461</v>
      </c>
      <c r="H22" s="2" t="s">
        <v>2232</v>
      </c>
      <c r="I22" s="2" t="s">
        <v>2233</v>
      </c>
      <c r="J22" s="2" t="s">
        <v>2234</v>
      </c>
    </row>
    <row r="23" spans="1:10" ht="57" customHeight="1">
      <c r="A23" s="2" t="s">
        <v>166</v>
      </c>
      <c r="B23" s="2" t="s">
        <v>1346</v>
      </c>
      <c r="C23" s="2" t="s">
        <v>2235</v>
      </c>
      <c r="D23" s="2" t="s">
        <v>2223</v>
      </c>
      <c r="E23" s="2" t="s">
        <v>374</v>
      </c>
      <c r="F23" s="2" t="s">
        <v>1436</v>
      </c>
      <c r="G23" s="2" t="s">
        <v>2236</v>
      </c>
      <c r="H23" s="2" t="s">
        <v>2237</v>
      </c>
      <c r="I23" s="2" t="s">
        <v>2238</v>
      </c>
      <c r="J23" s="2" t="s">
        <v>2239</v>
      </c>
    </row>
    <row r="24" spans="1:10" ht="15.75" customHeight="1"/>
    <row r="25" spans="1:10" ht="15.75" customHeight="1"/>
    <row r="26" spans="1:10" ht="15.75" customHeight="1"/>
    <row r="27" spans="1:10" ht="15.75" customHeight="1"/>
    <row r="28" spans="1:10" ht="15.75" customHeight="1"/>
    <row r="29" spans="1:10" ht="15.75" customHeight="1"/>
    <row r="30" spans="1:10" ht="15.75" customHeight="1"/>
    <row r="31" spans="1:10" ht="15.75" customHeight="1"/>
    <row r="32" spans="1:1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J1"/>
    <mergeCell ref="A2:J2"/>
  </mergeCells>
  <phoneticPr fontId="10" type="noConversion"/>
  <pageMargins left="0.7" right="0.7" top="0.75" bottom="0.75" header="0" footer="0"/>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00"/>
  <sheetViews>
    <sheetView workbookViewId="0">
      <selection sqref="A1:I1"/>
    </sheetView>
  </sheetViews>
  <sheetFormatPr defaultColWidth="14.42578125" defaultRowHeight="15" customHeight="1"/>
  <cols>
    <col min="1" max="1" width="13.85546875" customWidth="1"/>
    <col min="2" max="2" width="21.7109375" customWidth="1"/>
    <col min="3" max="3" width="12.7109375" customWidth="1"/>
    <col min="4" max="4" width="20" customWidth="1"/>
    <col min="5" max="5" width="32" customWidth="1"/>
    <col min="6" max="6" width="26" customWidth="1"/>
    <col min="7" max="7" width="19.7109375" customWidth="1"/>
    <col min="8" max="8" width="17.85546875" customWidth="1"/>
    <col min="9" max="9" width="38" customWidth="1"/>
    <col min="10" max="26" width="8.7109375" customWidth="1"/>
  </cols>
  <sheetData>
    <row r="1" spans="1:9" ht="17.25">
      <c r="A1" s="25" t="s">
        <v>2240</v>
      </c>
      <c r="B1" s="26"/>
      <c r="C1" s="26"/>
      <c r="D1" s="26"/>
      <c r="E1" s="26"/>
      <c r="F1" s="26"/>
      <c r="G1" s="26"/>
      <c r="H1" s="26"/>
      <c r="I1" s="27"/>
    </row>
    <row r="2" spans="1:9">
      <c r="A2" s="28" t="s">
        <v>2241</v>
      </c>
      <c r="B2" s="26"/>
      <c r="C2" s="26"/>
      <c r="D2" s="26"/>
      <c r="E2" s="26"/>
      <c r="F2" s="26"/>
      <c r="G2" s="26"/>
      <c r="H2" s="26"/>
      <c r="I2" s="27"/>
    </row>
    <row r="4" spans="1:9">
      <c r="A4" s="1" t="s">
        <v>530</v>
      </c>
      <c r="B4" s="1" t="s">
        <v>2242</v>
      </c>
      <c r="C4" s="1" t="s">
        <v>372</v>
      </c>
      <c r="D4" s="1" t="s">
        <v>2243</v>
      </c>
      <c r="E4" s="1" t="s">
        <v>2244</v>
      </c>
      <c r="F4" s="1" t="s">
        <v>535</v>
      </c>
      <c r="G4" s="1" t="s">
        <v>2245</v>
      </c>
      <c r="H4" s="1" t="s">
        <v>9</v>
      </c>
      <c r="I4" s="1" t="s">
        <v>536</v>
      </c>
    </row>
    <row r="5" spans="1:9" ht="40.5">
      <c r="A5" s="2" t="s">
        <v>671</v>
      </c>
      <c r="B5" s="2" t="s">
        <v>605</v>
      </c>
      <c r="C5" s="2" t="s">
        <v>383</v>
      </c>
      <c r="D5" s="2" t="s">
        <v>2246</v>
      </c>
      <c r="E5" s="2" t="s">
        <v>2247</v>
      </c>
      <c r="F5" s="2" t="s">
        <v>2248</v>
      </c>
      <c r="G5" s="2" t="s">
        <v>2249</v>
      </c>
      <c r="H5" s="2" t="s">
        <v>2250</v>
      </c>
      <c r="I5" s="2" t="s">
        <v>612</v>
      </c>
    </row>
    <row r="6" spans="1:9" ht="27">
      <c r="A6" s="2" t="s">
        <v>2251</v>
      </c>
      <c r="B6" s="2" t="s">
        <v>2252</v>
      </c>
      <c r="C6" s="2" t="s">
        <v>383</v>
      </c>
      <c r="D6" s="2" t="s">
        <v>2253</v>
      </c>
      <c r="E6" s="2" t="s">
        <v>2254</v>
      </c>
      <c r="F6" s="2" t="s">
        <v>2255</v>
      </c>
      <c r="G6" s="2" t="s">
        <v>2249</v>
      </c>
      <c r="H6" s="2" t="s">
        <v>2256</v>
      </c>
      <c r="I6" s="2" t="s">
        <v>2257</v>
      </c>
    </row>
    <row r="7" spans="1:9" ht="40.5">
      <c r="A7" s="2" t="s">
        <v>2258</v>
      </c>
      <c r="B7" s="2" t="s">
        <v>2259</v>
      </c>
      <c r="C7" s="2" t="s">
        <v>383</v>
      </c>
      <c r="D7" s="2" t="s">
        <v>2260</v>
      </c>
      <c r="E7" s="2" t="s">
        <v>2261</v>
      </c>
      <c r="F7" s="2" t="s">
        <v>2262</v>
      </c>
      <c r="G7" s="2" t="s">
        <v>2249</v>
      </c>
      <c r="H7" s="2" t="s">
        <v>2263</v>
      </c>
      <c r="I7" s="2" t="s">
        <v>621</v>
      </c>
    </row>
    <row r="8" spans="1:9" ht="40.5">
      <c r="A8" s="2" t="s">
        <v>2264</v>
      </c>
      <c r="B8" s="2" t="s">
        <v>2265</v>
      </c>
      <c r="C8" s="2" t="s">
        <v>383</v>
      </c>
      <c r="D8" s="2" t="s">
        <v>2266</v>
      </c>
      <c r="E8" s="2" t="s">
        <v>2267</v>
      </c>
      <c r="F8" s="2" t="s">
        <v>2268</v>
      </c>
      <c r="G8" s="2" t="s">
        <v>2269</v>
      </c>
      <c r="H8" s="2" t="s">
        <v>2270</v>
      </c>
      <c r="I8" s="2" t="s">
        <v>2271</v>
      </c>
    </row>
    <row r="9" spans="1:9" ht="40.5">
      <c r="A9" s="2" t="s">
        <v>2272</v>
      </c>
      <c r="B9" s="2" t="s">
        <v>596</v>
      </c>
      <c r="C9" s="2" t="s">
        <v>383</v>
      </c>
      <c r="D9" s="2" t="s">
        <v>2273</v>
      </c>
      <c r="E9" s="2" t="s">
        <v>2274</v>
      </c>
      <c r="F9" s="2" t="s">
        <v>2275</v>
      </c>
      <c r="G9" s="2" t="s">
        <v>2249</v>
      </c>
      <c r="H9" s="2" t="s">
        <v>2276</v>
      </c>
      <c r="I9" s="2" t="s">
        <v>603</v>
      </c>
    </row>
    <row r="10" spans="1:9" ht="40.5">
      <c r="A10" s="2" t="s">
        <v>2277</v>
      </c>
      <c r="B10" s="2" t="s">
        <v>2278</v>
      </c>
      <c r="C10" s="2" t="s">
        <v>383</v>
      </c>
      <c r="D10" s="2" t="s">
        <v>2279</v>
      </c>
      <c r="E10" s="2" t="s">
        <v>2280</v>
      </c>
      <c r="F10" s="2" t="s">
        <v>2281</v>
      </c>
      <c r="G10" s="2" t="s">
        <v>2249</v>
      </c>
      <c r="H10" s="2" t="s">
        <v>2282</v>
      </c>
      <c r="I10" s="2" t="s">
        <v>2283</v>
      </c>
    </row>
    <row r="11" spans="1:9" ht="54">
      <c r="A11" s="2" t="s">
        <v>2284</v>
      </c>
      <c r="B11" s="2" t="s">
        <v>587</v>
      </c>
      <c r="C11" s="2" t="s">
        <v>383</v>
      </c>
      <c r="D11" s="2" t="s">
        <v>2285</v>
      </c>
      <c r="E11" s="2" t="s">
        <v>2286</v>
      </c>
      <c r="F11" s="2" t="s">
        <v>2287</v>
      </c>
      <c r="G11" s="2" t="s">
        <v>2249</v>
      </c>
      <c r="H11" s="2" t="s">
        <v>248</v>
      </c>
      <c r="I11" s="2" t="s">
        <v>2283</v>
      </c>
    </row>
    <row r="12" spans="1:9" ht="54">
      <c r="A12" s="2" t="s">
        <v>2288</v>
      </c>
      <c r="B12" s="2" t="s">
        <v>2289</v>
      </c>
      <c r="C12" s="2" t="s">
        <v>624</v>
      </c>
      <c r="D12" s="2" t="s">
        <v>2290</v>
      </c>
      <c r="E12" s="2" t="s">
        <v>2291</v>
      </c>
      <c r="F12" s="2" t="s">
        <v>2292</v>
      </c>
      <c r="G12" s="2" t="s">
        <v>2293</v>
      </c>
      <c r="H12" s="2" t="s">
        <v>630</v>
      </c>
      <c r="I12" s="2" t="s">
        <v>631</v>
      </c>
    </row>
    <row r="13" spans="1:9" ht="40.5">
      <c r="A13" s="2" t="s">
        <v>2294</v>
      </c>
      <c r="B13" s="2" t="s">
        <v>235</v>
      </c>
      <c r="C13" s="2" t="s">
        <v>2295</v>
      </c>
      <c r="D13" s="2" t="s">
        <v>2296</v>
      </c>
      <c r="E13" s="2" t="s">
        <v>2297</v>
      </c>
      <c r="F13" s="2" t="s">
        <v>2298</v>
      </c>
      <c r="G13" s="2" t="s">
        <v>2299</v>
      </c>
      <c r="H13" s="2" t="s">
        <v>2300</v>
      </c>
      <c r="I13" s="2" t="s">
        <v>544</v>
      </c>
    </row>
    <row r="14" spans="1:9" ht="40.5">
      <c r="A14" s="2" t="s">
        <v>2301</v>
      </c>
      <c r="B14" s="2" t="s">
        <v>478</v>
      </c>
      <c r="C14" s="2" t="s">
        <v>2302</v>
      </c>
      <c r="D14" s="2" t="s">
        <v>2303</v>
      </c>
      <c r="E14" s="2" t="s">
        <v>2304</v>
      </c>
      <c r="F14" s="2" t="s">
        <v>2305</v>
      </c>
      <c r="G14" s="2" t="s">
        <v>2306</v>
      </c>
      <c r="H14" s="2" t="s">
        <v>2307</v>
      </c>
      <c r="I14" s="2" t="s">
        <v>561</v>
      </c>
    </row>
    <row r="15" spans="1:9" ht="27">
      <c r="A15" s="2" t="s">
        <v>2308</v>
      </c>
      <c r="B15" s="2" t="s">
        <v>563</v>
      </c>
      <c r="C15" s="2" t="s">
        <v>2302</v>
      </c>
      <c r="D15" s="2" t="s">
        <v>2309</v>
      </c>
      <c r="E15" s="2" t="s">
        <v>2310</v>
      </c>
      <c r="F15" s="2" t="s">
        <v>2311</v>
      </c>
      <c r="G15" s="2" t="s">
        <v>2312</v>
      </c>
      <c r="H15" s="2" t="s">
        <v>2313</v>
      </c>
      <c r="I15" s="2" t="s">
        <v>571</v>
      </c>
    </row>
    <row r="16" spans="1:9" ht="54">
      <c r="A16" s="2" t="s">
        <v>572</v>
      </c>
      <c r="B16" s="2" t="s">
        <v>224</v>
      </c>
      <c r="C16" s="2" t="s">
        <v>431</v>
      </c>
      <c r="D16" s="2" t="s">
        <v>2314</v>
      </c>
      <c r="E16" s="2" t="s">
        <v>2315</v>
      </c>
      <c r="F16" s="2" t="s">
        <v>2316</v>
      </c>
      <c r="G16" s="2" t="s">
        <v>2317</v>
      </c>
      <c r="H16" s="2" t="s">
        <v>2318</v>
      </c>
      <c r="I16" s="2" t="s">
        <v>552</v>
      </c>
    </row>
    <row r="17" spans="1:9" ht="40.5">
      <c r="A17" s="2" t="s">
        <v>1146</v>
      </c>
      <c r="B17" s="2" t="s">
        <v>2319</v>
      </c>
      <c r="C17" s="2" t="s">
        <v>383</v>
      </c>
      <c r="D17" s="2" t="s">
        <v>2320</v>
      </c>
      <c r="E17" s="2" t="s">
        <v>2321</v>
      </c>
      <c r="F17" s="2" t="s">
        <v>2322</v>
      </c>
      <c r="G17" s="2" t="s">
        <v>2323</v>
      </c>
      <c r="H17" s="2" t="s">
        <v>2324</v>
      </c>
      <c r="I17" s="2" t="s">
        <v>603</v>
      </c>
    </row>
    <row r="21" spans="1:9" ht="15.75" customHeight="1"/>
    <row r="22" spans="1:9" ht="15.75" customHeight="1"/>
    <row r="23" spans="1:9" ht="15.75" customHeight="1"/>
    <row r="24" spans="1:9" ht="15.75" customHeight="1"/>
    <row r="25" spans="1:9" ht="15.75" customHeight="1"/>
    <row r="26" spans="1:9" ht="15.75" customHeight="1"/>
    <row r="27" spans="1:9" ht="15.75" customHeight="1"/>
    <row r="28" spans="1:9" ht="15.75" customHeight="1"/>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I1"/>
    <mergeCell ref="A2:I2"/>
  </mergeCells>
  <phoneticPr fontId="10" type="noConversion"/>
  <pageMargins left="0.7" right="0.7" top="0.75" bottom="0.75" header="0" footer="0"/>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sqref="A1:E1"/>
    </sheetView>
  </sheetViews>
  <sheetFormatPr defaultColWidth="14.42578125" defaultRowHeight="15" customHeight="1"/>
  <cols>
    <col min="1" max="1" width="24" customWidth="1"/>
    <col min="2" max="2" width="16" customWidth="1"/>
    <col min="3" max="3" width="42" customWidth="1"/>
    <col min="4" max="5" width="28" customWidth="1"/>
    <col min="6" max="26" width="8.7109375" customWidth="1"/>
  </cols>
  <sheetData>
    <row r="1" spans="1:5" ht="17.25">
      <c r="A1" s="25" t="s">
        <v>2325</v>
      </c>
      <c r="B1" s="26"/>
      <c r="C1" s="26"/>
      <c r="D1" s="26"/>
      <c r="E1" s="27"/>
    </row>
    <row r="2" spans="1:5">
      <c r="A2" s="28" t="s">
        <v>2326</v>
      </c>
      <c r="B2" s="26"/>
      <c r="C2" s="26"/>
      <c r="D2" s="26"/>
      <c r="E2" s="27"/>
    </row>
    <row r="4" spans="1:5" ht="27">
      <c r="A4" s="1" t="s">
        <v>2327</v>
      </c>
      <c r="B4" s="1" t="s">
        <v>2328</v>
      </c>
      <c r="C4" s="1" t="s">
        <v>2329</v>
      </c>
      <c r="D4" s="1" t="s">
        <v>2330</v>
      </c>
      <c r="E4" s="1" t="s">
        <v>2331</v>
      </c>
    </row>
    <row r="5" spans="1:5" ht="57" customHeight="1">
      <c r="A5" s="2" t="s">
        <v>2332</v>
      </c>
      <c r="B5" s="2" t="s">
        <v>2333</v>
      </c>
      <c r="C5" s="2" t="s">
        <v>2334</v>
      </c>
      <c r="D5" s="2" t="s">
        <v>2335</v>
      </c>
      <c r="E5" s="2" t="s">
        <v>2336</v>
      </c>
    </row>
    <row r="6" spans="1:5" ht="57" customHeight="1">
      <c r="A6" s="2" t="s">
        <v>2337</v>
      </c>
      <c r="B6" s="2" t="s">
        <v>2333</v>
      </c>
      <c r="C6" s="2" t="s">
        <v>2338</v>
      </c>
      <c r="D6" s="2" t="s">
        <v>2339</v>
      </c>
      <c r="E6" s="2" t="s">
        <v>2340</v>
      </c>
    </row>
    <row r="7" spans="1:5" ht="57" customHeight="1">
      <c r="A7" s="2" t="s">
        <v>2341</v>
      </c>
      <c r="B7" s="2" t="s">
        <v>2333</v>
      </c>
      <c r="C7" s="2" t="s">
        <v>2342</v>
      </c>
      <c r="D7" s="2" t="s">
        <v>2343</v>
      </c>
      <c r="E7" s="2" t="s">
        <v>2344</v>
      </c>
    </row>
    <row r="8" spans="1:5" ht="57" customHeight="1">
      <c r="A8" s="2" t="s">
        <v>2345</v>
      </c>
      <c r="B8" s="2" t="s">
        <v>2333</v>
      </c>
      <c r="C8" s="2" t="s">
        <v>2346</v>
      </c>
      <c r="D8" s="2" t="s">
        <v>2347</v>
      </c>
      <c r="E8" s="2" t="s">
        <v>2348</v>
      </c>
    </row>
    <row r="9" spans="1:5" ht="57" customHeight="1">
      <c r="A9" s="2" t="s">
        <v>2349</v>
      </c>
      <c r="B9" s="2" t="s">
        <v>2333</v>
      </c>
      <c r="C9" s="2" t="s">
        <v>2350</v>
      </c>
      <c r="D9" s="2" t="s">
        <v>2351</v>
      </c>
      <c r="E9" s="2" t="s">
        <v>2352</v>
      </c>
    </row>
    <row r="10" spans="1:5" ht="57" customHeight="1">
      <c r="A10" s="2" t="s">
        <v>2353</v>
      </c>
      <c r="B10" s="2" t="s">
        <v>2333</v>
      </c>
      <c r="C10" s="2" t="s">
        <v>2354</v>
      </c>
      <c r="D10" s="2" t="s">
        <v>2355</v>
      </c>
      <c r="E10" s="2" t="s">
        <v>2356</v>
      </c>
    </row>
    <row r="11" spans="1:5" ht="57" customHeight="1">
      <c r="A11" s="2" t="s">
        <v>2357</v>
      </c>
      <c r="B11" s="2" t="s">
        <v>2333</v>
      </c>
      <c r="C11" s="2" t="s">
        <v>2358</v>
      </c>
      <c r="D11" s="2" t="s">
        <v>2359</v>
      </c>
      <c r="E11" s="2" t="s">
        <v>2360</v>
      </c>
    </row>
    <row r="12" spans="1:5" ht="57" customHeight="1">
      <c r="A12" s="2" t="s">
        <v>2361</v>
      </c>
      <c r="B12" s="2" t="s">
        <v>2333</v>
      </c>
      <c r="C12" s="2" t="s">
        <v>2362</v>
      </c>
      <c r="D12" s="2" t="s">
        <v>2363</v>
      </c>
      <c r="E12" s="2" t="s">
        <v>2364</v>
      </c>
    </row>
    <row r="13" spans="1:5" ht="57" customHeight="1">
      <c r="A13" s="2" t="s">
        <v>2365</v>
      </c>
      <c r="B13" s="2" t="s">
        <v>2333</v>
      </c>
      <c r="C13" s="2" t="s">
        <v>2366</v>
      </c>
      <c r="D13" s="2" t="s">
        <v>2367</v>
      </c>
      <c r="E13" s="2" t="s">
        <v>2368</v>
      </c>
    </row>
    <row r="14" spans="1:5" ht="57" customHeight="1">
      <c r="A14" s="2" t="s">
        <v>2369</v>
      </c>
      <c r="B14" s="2" t="s">
        <v>2333</v>
      </c>
      <c r="C14" s="2" t="s">
        <v>2370</v>
      </c>
      <c r="D14" s="2" t="s">
        <v>2371</v>
      </c>
      <c r="E14" s="2" t="s">
        <v>2372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2:E2"/>
  </mergeCells>
  <phoneticPr fontId="10" type="noConversion"/>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23</vt:i4>
      </vt:variant>
    </vt:vector>
  </HeadingPairs>
  <TitlesOfParts>
    <vt:vector size="23" baseType="lpstr">
      <vt:lpstr>요구사항 정의서_000기능</vt:lpstr>
      <vt:lpstr>기능정의_상세</vt:lpstr>
      <vt:lpstr>데이터정의</vt:lpstr>
      <vt:lpstr>API_모델역할</vt:lpstr>
      <vt:lpstr>WBS_기술계획</vt:lpstr>
      <vt:lpstr>점수산정_6축</vt:lpstr>
      <vt:lpstr>예외코드</vt:lpstr>
      <vt:lpstr>디톡스정책</vt:lpstr>
      <vt:lpstr>유형판정_16</vt:lpstr>
      <vt:lpstr>무료유료_운영</vt:lpstr>
      <vt:lpstr>DBMS_설계</vt:lpstr>
      <vt:lpstr>UI_화면정의</vt:lpstr>
      <vt:lpstr>API_명세</vt:lpstr>
      <vt:lpstr>역할분담</vt:lpstr>
      <vt:lpstr>WBS_현황</vt:lpstr>
      <vt:lpstr>Notion_GitHub운영</vt:lpstr>
      <vt:lpstr>최종권고</vt:lpstr>
      <vt:lpstr>참고출처</vt:lpstr>
      <vt:lpstr>요구사항_세부구현</vt:lpstr>
      <vt:lpstr>API_명세_상세</vt:lpstr>
      <vt:lpstr>화면_API흐름</vt:lpstr>
      <vt:lpstr>개발스택_상세</vt:lpstr>
      <vt:lpstr>검토_체크</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2026-05-04T07:59:08Z</dcterms:modified>
</cp:coreProperties>
</file>